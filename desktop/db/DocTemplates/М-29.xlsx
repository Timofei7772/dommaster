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сметы нов\"/>
    </mc:Choice>
  </mc:AlternateContent>
  <xr:revisionPtr revIDLastSave="0" documentId="8_{86639B44-4476-4695-AA30-6B19C391CF63}" xr6:coauthVersionLast="47" xr6:coauthVersionMax="47" xr10:uidLastSave="{00000000-0000-0000-0000-000000000000}"/>
  <bookViews>
    <workbookView xWindow="-120" yWindow="-120" windowWidth="29040" windowHeight="15720" activeTab="3" xr2:uid="{7E8A984E-58F6-4B38-88A2-F32C162F37B1}"/>
  </bookViews>
  <sheets>
    <sheet name="Дефектовка №1" sheetId="2" r:id="rId1"/>
    <sheet name="Смета №1" sheetId="3" r:id="rId2"/>
    <sheet name="КС-2 №1" sheetId="4" r:id="rId3"/>
    <sheet name="М-29 №1" sheetId="8" r:id="rId4"/>
    <sheet name="КС-3 №1" sheetId="5" r:id="rId5"/>
    <sheet name="Счёт № 1" sheetId="7" r:id="rId6"/>
    <sheet name="Счёт-фактура № 202" sheetId="6" r:id="rId7"/>
    <sheet name="Лист1" sheetId="1" r:id="rId8"/>
  </sheets>
  <definedNames>
    <definedName name="AddAddres" localSheetId="1">'Смета №1'!$GR$8</definedName>
    <definedName name="AddresObjekta" localSheetId="1">'Смета №1'!$U$2</definedName>
    <definedName name="AddresPodr" localSheetId="5">'Счёт № 1'!$D$3</definedName>
    <definedName name="AddresPokupatel" localSheetId="6">'Счёт-фактура № 202'!$A$17</definedName>
    <definedName name="AddresProdavza" localSheetId="6">'Счёт-фактура № 202'!$A$10</definedName>
    <definedName name="AddresStroyki" localSheetId="2">'КС-2 №1'!$U$1</definedName>
    <definedName name="AddresStroyki" localSheetId="4">'КС-3 №1'!$GR$6</definedName>
    <definedName name="BankPoluch" localSheetId="5">'Счёт № 1'!$A$8</definedName>
    <definedName name="BIK" localSheetId="5">'Счёт № 1'!$V$8</definedName>
    <definedName name="BottomKomment" localSheetId="5">'Счёт № 1'!$A$36</definedName>
    <definedName name="Buhgalter" localSheetId="5">'Счёт № 1'!$I$45</definedName>
    <definedName name="ColIdRow" localSheetId="1">'Смета №1'!$AA$1</definedName>
    <definedName name="ColTypeRow" localSheetId="1">'Смета №1'!$P$1</definedName>
    <definedName name="ColumnNumbersRow" localSheetId="6">'Счёт-фактура № 202'!$A$23</definedName>
    <definedName name="Contract_Info" localSheetId="3">'М-29 №1'!$C$8</definedName>
    <definedName name="ContractorId" localSheetId="3">'М-29 №1'!$HB$1</definedName>
    <definedName name="ContractorName" localSheetId="3">'М-29 №1'!$A$1</definedName>
    <definedName name="CustomerId" localSheetId="3">'М-29 №1'!$HB$9</definedName>
    <definedName name="CustomerName" localSheetId="3">'М-29 №1'!$C$9</definedName>
    <definedName name="DataDog" localSheetId="2">'КС-2 №1'!$H$17</definedName>
    <definedName name="DataDog" localSheetId="4">'КС-3 №1'!$BN$17</definedName>
    <definedName name="DataDog" localSheetId="6">'Счёт-фактура № 202'!$HA$2</definedName>
    <definedName name="DataDogovora" localSheetId="1">'Смета №1'!$U$3</definedName>
    <definedName name="DataDogovora" localSheetId="5">'Счёт № 1'!$GU$2</definedName>
    <definedName name="DataDopSogl" localSheetId="1">'Смета №1'!$W$3</definedName>
    <definedName name="DataIspravlenie" localSheetId="6">'Счёт-фактура № 202'!$HB$7</definedName>
    <definedName name="DataKC2" localSheetId="2">'КС-2 №1'!$E$22</definedName>
    <definedName name="DataKC3" localSheetId="4">'КС-3 №1'!$BC$23</definedName>
    <definedName name="DataPodpisiEstimate" localSheetId="1">'Смета №1'!$X$1</definedName>
    <definedName name="DataScheta" localSheetId="5">'Счёт № 1'!$GT$2</definedName>
    <definedName name="DataSchetFaktura" localSheetId="6">'Счёт-фактура № 202'!$HB$6</definedName>
    <definedName name="DateContract" localSheetId="3">'М-29 №1'!$HD$8</definedName>
    <definedName name="DateCreateM29" localSheetId="3">'М-29 №1'!$C$11</definedName>
    <definedName name="DateDoc" localSheetId="3">'М-29 №1'!$C$11</definedName>
    <definedName name="DateParentAktKC2" localSheetId="3">'М-29 №1'!$HD$7</definedName>
    <definedName name="DefName" localSheetId="0">'Дефектовка №1'!$A$5</definedName>
    <definedName name="DocObOtgruzke" localSheetId="6">'Счёт-фактура № 202'!$A$15</definedName>
    <definedName name="DocObOtgruzkeValue" localSheetId="6">'Счёт-фактура № 202'!$HA$15</definedName>
    <definedName name="DocumentType" localSheetId="0">'Дефектовка №1'!$GR$1</definedName>
    <definedName name="DocumentType" localSheetId="2">'КС-2 №1'!$GR$1</definedName>
    <definedName name="DocumentType" localSheetId="4">'КС-3 №1'!$GR$1</definedName>
    <definedName name="DocumentType" localSheetId="1">'Смета №1'!$GR$1</definedName>
    <definedName name="DocumentType" localSheetId="5">'Счёт № 1'!$GR$1</definedName>
    <definedName name="DocumentType" localSheetId="6">'Счёт-фактура № 202'!$GR$1</definedName>
    <definedName name="DocumentType">'М-29 №1'!$GR$1</definedName>
    <definedName name="Dog_AvansPoDogovoru" localSheetId="1">'Смета №1'!$GW$3</definedName>
    <definedName name="Dog_NachaloRabot" localSheetId="1">'Смета №1'!$GZ$3</definedName>
    <definedName name="Dog_OkonchanieRabot" localSheetId="1">'Смета №1'!$HA$3</definedName>
    <definedName name="Dog_ProgressPayment" localSheetId="1">'Смета №1'!$GX$3</definedName>
    <definedName name="Dog_SrokGarantii" localSheetId="1">'Смета №1'!$HB$3</definedName>
    <definedName name="Dog_SrokPayment" localSheetId="1">'Смета №1'!$HC$3</definedName>
    <definedName name="Dog_VariantProgressPayment" localSheetId="1">'Смета №1'!$GY$3</definedName>
    <definedName name="Dog_WithAvans" localSheetId="1">'Смета №1'!$GV$3</definedName>
    <definedName name="FillRowInvestor" localSheetId="2">'КС-2 №1'!$R$3</definedName>
    <definedName name="FillRowInvestor" localSheetId="4">'КС-3 №1'!$GR$3</definedName>
    <definedName name="FIOBuhgalter" localSheetId="6">'Счёт-фактура № 202'!$EG$27</definedName>
    <definedName name="FIOIP" localSheetId="6">'Счёт-фактура № 202'!$BG$30</definedName>
    <definedName name="FIORukovoditel" localSheetId="6">'Счёт-фактура № 202'!$AY$27</definedName>
    <definedName name="FirstRow" localSheetId="6">'Счёт-фактура № 202'!$B$24</definedName>
    <definedName name="FormatEstimate" localSheetId="1">'Смета №1'!$GR$2</definedName>
    <definedName name="GosContract" localSheetId="6">'Счёт-фактура № 202'!$A$20</definedName>
    <definedName name="GosContractValue" localSheetId="6">'Счёт-фактура № 202'!$HA$20</definedName>
    <definedName name="GruzoOtprav" localSheetId="6">'Счёт-фактура № 202'!$A$12</definedName>
    <definedName name="GruzoPoluch" localSheetId="5">'Счёт № 1'!$H$23</definedName>
    <definedName name="GruzoPoluch" localSheetId="6">'Счёт-фактура № 202'!$A$13</definedName>
    <definedName name="HeaderTable" localSheetId="3">'М-29 №1'!$A$12:$G$12</definedName>
    <definedName name="IdContract" localSheetId="3">'М-29 №1'!$HB$8</definedName>
    <definedName name="IdDocument" localSheetId="0">'Дефектовка №1'!$GS$1</definedName>
    <definedName name="IdDocument" localSheetId="2">'КС-2 №1'!$GS$1</definedName>
    <definedName name="IdDocument" localSheetId="4">'КС-3 №1'!$GS$1</definedName>
    <definedName name="IdDocument" localSheetId="3">'М-29 №1'!$GS$1</definedName>
    <definedName name="IdDocument" localSheetId="1">'Смета №1'!$GS$1</definedName>
    <definedName name="IdDocument" localSheetId="5">'Счёт № 1'!$GS$1</definedName>
    <definedName name="IdDocument" localSheetId="6">'Счёт-фактура № 202'!$GS$1</definedName>
    <definedName name="IdGruzoOtprav" localSheetId="6">'Счёт-фактура № 202'!$GZ$12</definedName>
    <definedName name="IdGruzoPoluch" localSheetId="5">'Счёт № 1'!$GS$3</definedName>
    <definedName name="IdGruzoPoluch" localSheetId="6">'Счёт-фактура № 202'!$GZ$13</definedName>
    <definedName name="IdKC3" localSheetId="2">'КС-2 №1'!$GR$5</definedName>
    <definedName name="IdParentAktKC2" localSheetId="3">'М-29 №1'!$HB$7</definedName>
    <definedName name="IdParentDoc" localSheetId="6">'Счёт-фактура № 202'!$GT$1</definedName>
    <definedName name="IdParentEst" localSheetId="2">'КС-2 №1'!$GR$2</definedName>
    <definedName name="IdParentEstimate" localSheetId="3">'М-29 №1'!$HG$7</definedName>
    <definedName name="IdPodrjadschika" localSheetId="1">'Смета №1'!$T$5</definedName>
    <definedName name="IdPokupatel" localSheetId="5">'Счёт № 1'!$GS$2</definedName>
    <definedName name="IdPokupatel" localSheetId="6">'Счёт-фактура № 202'!$GZ$16</definedName>
    <definedName name="IdProdavec" localSheetId="5">'Счёт № 1'!$GS$1</definedName>
    <definedName name="IdProdavez" localSheetId="6">'Счёт-фактура № 202'!$GZ$9</definedName>
    <definedName name="IdReplacedEstimate" localSheetId="1">'Смета №1'!$Y$3</definedName>
    <definedName name="IdZakazschika" localSheetId="1">'Смета №1'!$U$5</definedName>
    <definedName name="INN" localSheetId="5">'Счёт № 1'!$C$11</definedName>
    <definedName name="INNKPPPokupatel" localSheetId="6">'Счёт-фактура № 202'!$A$18</definedName>
    <definedName name="INNKPPProdavza" localSheetId="6">'Счёт-фактура № 202'!$A$11</definedName>
    <definedName name="Investor" localSheetId="2">'КС-2 №1'!$V$4</definedName>
    <definedName name="Investor" localSheetId="4">'КС-3 №1'!$GR$7</definedName>
    <definedName name="Ispravlenie" localSheetId="6">'Счёт-фактура № 202'!$A$7</definedName>
    <definedName name="Itog" localSheetId="6">'Счёт-фактура № 202'!$DL$25</definedName>
    <definedName name="ItogBezNDS" localSheetId="4">'КС-3 №1'!$BP$35</definedName>
    <definedName name="Itogo" localSheetId="5">'Счёт № 1'!$AG$27</definedName>
    <definedName name="Itogo_Row" localSheetId="3">'М-29 №1'!$A$18</definedName>
    <definedName name="ItogoMassaMater" localSheetId="0">'Дефектовка №1'!$Y$31</definedName>
    <definedName name="ItogoMassaMusora" localSheetId="0">'Дефектовка №1'!$X$31</definedName>
    <definedName name="ItogoPlanStoimostMater" localSheetId="0">'Дефектовка №1'!$F$33</definedName>
    <definedName name="ItogoPlanStoimostRabot" localSheetId="0">'Дефектовка №1'!$F$32</definedName>
    <definedName name="ItogoPoDefektovke" localSheetId="0">'Дефектовка №1'!$F$36</definedName>
    <definedName name="ItogoPoRazdelam" localSheetId="0">'Дефектовка №1'!$J$40</definedName>
    <definedName name="ItogoPoRazdelam" localSheetId="2">'КС-2 №1'!$H$43</definedName>
    <definedName name="ItogoPoRazdelam" localSheetId="1">'Смета №1'!$F$29</definedName>
    <definedName name="ItogoPoRazdelam1" localSheetId="0">'Дефектовка №1'!$J$31</definedName>
    <definedName name="ItogoPoRazdelamDef" localSheetId="0">'Дефектовка №1'!$F$31</definedName>
    <definedName name="ItogoStoimostMaterialov" localSheetId="0">'Дефектовка №1'!$J$33</definedName>
    <definedName name="ItogoStoimostMaterialov" localSheetId="2">'КС-2 №1'!$H$45</definedName>
    <definedName name="ItogoStoimostMaterialov" localSheetId="1">'Смета №1'!$F$31</definedName>
    <definedName name="ItogoStoimostRabot" localSheetId="0">'Дефектовка №1'!$J$32</definedName>
    <definedName name="ItogoStoimostRabot" localSheetId="2">'КС-2 №1'!$H$44</definedName>
    <definedName name="ItogoStoimostRabot" localSheetId="1">'Смета №1'!$F$30</definedName>
    <definedName name="ItogoWork" localSheetId="0">'Дефектовка №1'!$W$31</definedName>
    <definedName name="ItogPoAktu" localSheetId="4">'КС-3 №1'!$BP$37</definedName>
    <definedName name="ItogPoSchetu" localSheetId="5">'Счёт № 1'!$AG$29</definedName>
    <definedName name="KoeffForMaterial" localSheetId="0">'Дефектовка №1'!$A$2</definedName>
    <definedName name="KoeffForPrice" localSheetId="0">'Дефектовка №1'!$A$1</definedName>
    <definedName name="KorrSchet" localSheetId="5">'Счёт № 1'!$V$9</definedName>
    <definedName name="KPP" localSheetId="5">'Счёт № 1'!$L$11</definedName>
    <definedName name="LabelDataPodpisiPodrjadschika" localSheetId="1">'Смета №1'!$C$4</definedName>
    <definedName name="LabelDataPodpisiZakazschika" localSheetId="1">'Смета №1'!$A$4</definedName>
    <definedName name="LabelEstimate" localSheetId="1">'Смета №1'!$A$5</definedName>
    <definedName name="LabelInvestor" localSheetId="2">'КС-2 №1'!$C$6</definedName>
    <definedName name="LabelInvestor" localSheetId="4">'КС-3 №1'!$I$7</definedName>
    <definedName name="LabelItogoPoSmete" localSheetId="1">'Смета №1'!$F$9</definedName>
    <definedName name="LabelItogoStMater" localSheetId="1">'Смета №1'!$F$11</definedName>
    <definedName name="LabelItogoStRabot" localSheetId="1">'Смета №1'!$F$10</definedName>
    <definedName name="LabelKDogovoru" localSheetId="1">'Смета №1'!$A$8</definedName>
    <definedName name="LabelNaimenovanie" localSheetId="1">'Смета №1'!$A$6</definedName>
    <definedName name="LabelPodpisPodrjadschika" localSheetId="1">'Смета №1'!$C$3</definedName>
    <definedName name="LabelPodpisZakazschika" localSheetId="1">'Смета №1'!$A$3</definedName>
    <definedName name="LabelPodrjadchik" localSheetId="2">'КС-2 №1'!$C$10</definedName>
    <definedName name="LabelPodrjadchik" localSheetId="4">'КС-3 №1'!$I$11</definedName>
    <definedName name="LabelPodrjadschik" localSheetId="1">'Смета №1'!$C$2</definedName>
    <definedName name="LabelPrilogenie" localSheetId="1">'Смета №1'!$A$7</definedName>
    <definedName name="LabelStroyka" localSheetId="2">'КС-2 №1'!$C$12</definedName>
    <definedName name="LabelStroyka" localSheetId="4">'КС-3 №1'!$I$13</definedName>
    <definedName name="LabelUrovenPrice" localSheetId="1">'Смета №1'!$A$11</definedName>
    <definedName name="LabelZakazchik" localSheetId="2">'КС-2 №1'!$C$8</definedName>
    <definedName name="LabelZakazchik" localSheetId="4">'КС-3 №1'!$I$9</definedName>
    <definedName name="LabelZakazschik" localSheetId="1">'Смета №1'!$A$2</definedName>
    <definedName name="LastRowDefektovki" localSheetId="0">'Дефектовка №1'!$P$44</definedName>
    <definedName name="LastRowEstimate" localSheetId="1">'Смета №1'!$P$34</definedName>
    <definedName name="LastRowKC2" localSheetId="2">'КС-2 №1'!$P$48</definedName>
    <definedName name="MassaMater" localSheetId="0">'Дефектовка №1'!$E$2</definedName>
    <definedName name="MassaMusora" localSheetId="0">'Дефектовка №1'!$E$3</definedName>
    <definedName name="MaterialsPlusLimZatr" localSheetId="1">'Смета №1'!$GR$6</definedName>
    <definedName name="Naimenovanie" localSheetId="5">'Счёт № 1'!$B$26</definedName>
    <definedName name="Naimenovanie_Column" localSheetId="3">'М-29 №1'!$C$12</definedName>
    <definedName name="NaimenovanieRabot" localSheetId="1">'Смета №1'!$V$1</definedName>
    <definedName name="NameGruzoOtprav" localSheetId="6">'Счёт-фактура № 202'!$HA$12</definedName>
    <definedName name="NameGruzoPoluch" localSheetId="6">'Счёт-фактура № 202'!$HA$13</definedName>
    <definedName name="NameGruzoPoluchatel" localSheetId="6">'Счёт-фактура № 202'!$HA$13</definedName>
    <definedName name="NameObjekt" localSheetId="1">'Смета №1'!$T$2</definedName>
    <definedName name="NameParentDoc" localSheetId="6">'Счёт-фактура № 202'!$GU$1</definedName>
    <definedName name="NamePodr" localSheetId="5">'Счёт № 1'!$A$1</definedName>
    <definedName name="NamePodrjadschika" localSheetId="1">'Смета №1'!$T$4</definedName>
    <definedName name="NamePokupatel" localSheetId="6">'Счёт-фактура № 202'!$HA$16</definedName>
    <definedName name="NamePoluch" localSheetId="5">'Счёт № 1'!$A$12</definedName>
    <definedName name="NameProdavez" localSheetId="6">'Счёт-фактура № 202'!$HA$9</definedName>
    <definedName name="NameShablonDef" localSheetId="0">'Дефектовка №1'!$Q$1</definedName>
    <definedName name="NameZakazschika" localSheetId="1">'Смета №1'!$U$4</definedName>
    <definedName name="NDS" localSheetId="5">'Счёт № 1'!$AG$28</definedName>
    <definedName name="NoPrintTelefon" localSheetId="2">'КС-2 №1'!$R$4</definedName>
    <definedName name="NoPrintTelefon" localSheetId="4">'КС-3 №1'!$GT$3</definedName>
    <definedName name="NumContract" localSheetId="3">'М-29 №1'!$HC$8</definedName>
    <definedName name="NumDoc" localSheetId="3">'М-29 №1'!$E$4</definedName>
    <definedName name="NumDog" localSheetId="2">'КС-2 №1'!$H$16</definedName>
    <definedName name="NumDog" localSheetId="4">'КС-3 №1'!$BN$16</definedName>
    <definedName name="NumDog" localSheetId="6">'Счёт-фактура № 202'!$HA$1</definedName>
    <definedName name="NumDogovora" localSheetId="1">'Смета №1'!$T$3</definedName>
    <definedName name="NumDogovora" localSheetId="5">'Счёт № 1'!$GU$1</definedName>
    <definedName name="NumDok" localSheetId="2">'КС-2 №1'!$D$22</definedName>
    <definedName name="NumDok" localSheetId="4">'КС-3 №1'!$AR$23</definedName>
    <definedName name="NumDopSogl" localSheetId="1">'Смета №1'!$V$3</definedName>
    <definedName name="NumEstimate" localSheetId="1">'Смета №1'!$U$1</definedName>
    <definedName name="NumIspravlenie" localSheetId="6">'Счёт-фактура № 202'!$HA$7</definedName>
    <definedName name="NumParentAktKC2" localSheetId="3">'М-29 №1'!$HC$7</definedName>
    <definedName name="NumPril" localSheetId="1">'Смета №1'!$W$1</definedName>
    <definedName name="NumScheta" localSheetId="5">'Счёт № 1'!$GT$1</definedName>
    <definedName name="NumSchetFaktura" localSheetId="6">'Счёт-фактура № 202'!$HA$6</definedName>
    <definedName name="Object" localSheetId="2">'КС-2 №1'!$C$14</definedName>
    <definedName name="OGRNIP" localSheetId="6">'Счёт-фактура № 202'!$CL$30</definedName>
    <definedName name="OKPOInvestor" localSheetId="2">'КС-2 №1'!$H$6</definedName>
    <definedName name="OKPOInvestor" localSheetId="4">'КС-3 №1'!$BN$7</definedName>
    <definedName name="OKPOPodrjadchik" localSheetId="2">'КС-2 №1'!$H$9</definedName>
    <definedName name="OKPOPodrjadchik" localSheetId="4">'КС-3 №1'!$BN$10</definedName>
    <definedName name="OKPOZakazchik" localSheetId="2">'КС-2 №1'!$H$7</definedName>
    <definedName name="OKPOZakazchik" localSheetId="4">'КС-3 №1'!$BN$8</definedName>
    <definedName name="OKVDPodrjadchik" localSheetId="2">'КС-2 №1'!$H$15</definedName>
    <definedName name="OKVDPodrjadchik" localSheetId="4">'КС-3 №1'!$BN$14</definedName>
    <definedName name="OtchPeriod_Po" localSheetId="2">'КС-2 №1'!$H$22</definedName>
    <definedName name="OtchPeriod_Po" localSheetId="4">'КС-3 №1'!$BV$23</definedName>
    <definedName name="OtchPeriod_S" localSheetId="2">'КС-2 №1'!$G$22</definedName>
    <definedName name="OtchPeriod_S" localSheetId="4">'КС-3 №1'!$BO$23</definedName>
    <definedName name="ParentAktKC2_Info" localSheetId="3">'М-29 №1'!$C$7</definedName>
    <definedName name="Period_Info" localSheetId="3">'М-29 №1'!$F$7</definedName>
    <definedName name="Period_Po" localSheetId="3">'М-29 №1'!$HF$7</definedName>
    <definedName name="Period_S" localSheetId="3">'М-29 №1'!$HE$7</definedName>
    <definedName name="PlanStMater" localSheetId="0">'Дефектовка №1'!$I$3</definedName>
    <definedName name="PlanStoimost" localSheetId="0">'Дефектовка №1'!$J$3</definedName>
    <definedName name="PlanStRabot" localSheetId="0">'Дефектовка №1'!$G$3</definedName>
    <definedName name="PlatRaschDok" localSheetId="6">'Счёт-фактура № 202'!$A$14</definedName>
    <definedName name="PlatRaschDokValue" localSheetId="6">'Счёт-фактура № 202'!$HA$14</definedName>
    <definedName name="PodpisPodrjadchika" localSheetId="4">'КС-3 №1'!$V$47</definedName>
    <definedName name="PodpisZakazchika" localSheetId="4">'КС-3 №1'!$V$41</definedName>
    <definedName name="Podrjadchik" localSheetId="2">'КС-2 №1'!$T$4</definedName>
    <definedName name="Podrjadchik" localSheetId="4">'КС-3 №1'!$GR$9</definedName>
    <definedName name="Pokupatel" localSheetId="5">'Счёт № 1'!$H$22</definedName>
    <definedName name="Pokupatel" localSheetId="6">'Счёт-фактура № 202'!$A$16</definedName>
    <definedName name="PorNumDok" localSheetId="0">'Дефектовка №1'!$GR$4</definedName>
    <definedName name="PorNumDok" localSheetId="1">'Смета №1'!$GR$5</definedName>
    <definedName name="PorNumDok" localSheetId="5">'Счёт № 1'!$GR$2</definedName>
    <definedName name="PorNumDoс" localSheetId="6">'Счёт-фактура № 202'!$GX$1</definedName>
    <definedName name="Postanovlenie" localSheetId="6">'Счёт-фактура № 202'!$FF$5</definedName>
    <definedName name="PredmetContract" localSheetId="3">'М-29 №1'!$HE$8</definedName>
    <definedName name="PredstavlenieNDS" localSheetId="0">'Дефектовка №1'!$GV$1</definedName>
    <definedName name="PredstavlenieNDS" localSheetId="2">'КС-2 №1'!$GV$1</definedName>
    <definedName name="PredstavlenieNDS" localSheetId="1">'Смета №1'!$GV$1</definedName>
    <definedName name="Prinjal" localSheetId="2">'КС-2 №1'!$C$51</definedName>
    <definedName name="PrintSostProv" localSheetId="1">'Смета №1'!$GR$7</definedName>
    <definedName name="PrintTitleRow">'М-29 №1'!$A$13:$G$13</definedName>
    <definedName name="ProcentAvansa" localSheetId="5">'Счёт № 1'!$GV$2</definedName>
    <definedName name="Prodavez" localSheetId="6">'Счёт-фактура № 202'!$A$9</definedName>
    <definedName name="ProgrammVersion" localSheetId="0">'Дефектовка №1'!$GR$3</definedName>
    <definedName name="ProgrammVersion" localSheetId="2">'КС-2 №1'!$GR$3</definedName>
    <definedName name="ProgrammVersion" localSheetId="4">'КС-3 №1'!$GS$3</definedName>
    <definedName name="ProgrammVersion" localSheetId="1">'Смета №1'!$GR$4</definedName>
    <definedName name="ProgrammVersion" localSheetId="5">'Счёт № 1'!$GR$3</definedName>
    <definedName name="ProgrammVersion" localSheetId="6">'Счёт-фактура № 202'!$GR$4</definedName>
    <definedName name="Prorab_info" localSheetId="3">'М-29 №1'!$A$2</definedName>
    <definedName name="Prorab_Podpis" localSheetId="3">'М-29 №1'!$D$24</definedName>
    <definedName name="ProrabId" localSheetId="3">'М-29 №1'!$HB$2</definedName>
    <definedName name="ProrabName">'М-29 №1'!$HC$2</definedName>
    <definedName name="RaschSchet" localSheetId="5">'Счёт № 1'!$V$11</definedName>
    <definedName name="Rukovoditel" localSheetId="5">'Счёт № 1'!$I$41</definedName>
    <definedName name="Schet" localSheetId="5">'Счёт № 1'!$A$18</definedName>
    <definedName name="SchetFaktura" localSheetId="6">'Счёт-фактура № 202'!$A$6</definedName>
    <definedName name="Sdal" localSheetId="2">'КС-2 №1'!$C$49</definedName>
    <definedName name="SmStMater" localSheetId="0">'Дефектовка №1'!$I$2</definedName>
    <definedName name="SmStoimost" localSheetId="0">'Дефектовка №1'!$J$2</definedName>
    <definedName name="SmStRabot" localSheetId="0">'Дефектовка №1'!$G$2</definedName>
    <definedName name="StavkaNDS" localSheetId="0">'Дефектовка №1'!$GW$1</definedName>
    <definedName name="StavkaNDS" localSheetId="2">'КС-2 №1'!$GW$1</definedName>
    <definedName name="StavkaNDS" localSheetId="4">'КС-3 №1'!$GW$1</definedName>
    <definedName name="StavkaNDS" localSheetId="1">'Смета №1'!$GW$1</definedName>
    <definedName name="StavkaNDS" localSheetId="5">'Счёт № 1'!$GW$1</definedName>
    <definedName name="StavkaNDS" localSheetId="6">'Счёт-фактура № 202'!$GW$1</definedName>
    <definedName name="Stroyka" localSheetId="2">'КС-2 №1'!$T$1</definedName>
    <definedName name="Stroyka" localSheetId="4">'КС-3 №1'!$GR$5</definedName>
    <definedName name="Summa_NDS" localSheetId="2">'КС-2 №1'!$H$47</definedName>
    <definedName name="Summa_VsegoPoAktu" localSheetId="2">'КС-2 №1'!$H$48</definedName>
    <definedName name="SummaDog" localSheetId="6">'Счёт-фактура № 202'!$HA$3</definedName>
    <definedName name="SummaDogovora" localSheetId="5">'Счёт № 1'!$GU$3</definedName>
    <definedName name="SummaNDS" localSheetId="0">'Дефектовка №1'!$J$42</definedName>
    <definedName name="SummaNDS" localSheetId="4">'КС-3 №1'!$BP$36</definedName>
    <definedName name="SummaNDS" localSheetId="1">'Смета №1'!$F$33</definedName>
    <definedName name="SummaNDS_label" localSheetId="4">'КС-3 №1'!$BN$36</definedName>
    <definedName name="SummaPoDogovoru" localSheetId="2">'КС-2 №1'!$E$24</definedName>
    <definedName name="SummaPoDogovoru" localSheetId="4">'КС-3 №1'!$GR$4</definedName>
    <definedName name="SumProp" localSheetId="5">'Счёт № 1'!$A$33</definedName>
    <definedName name="TipDokumenta" localSheetId="3">'М-29 №1'!$GR$1</definedName>
    <definedName name="TopKomment" localSheetId="5">'Счёт № 1'!$A$5</definedName>
    <definedName name="TypeEstimate" localSheetId="1">'Смета №1'!$T$1</definedName>
    <definedName name="TypeEstToDogOrDopSogl" localSheetId="1">'Смета №1'!$X$3</definedName>
    <definedName name="Valuta" localSheetId="6">'Счёт-фактура № 202'!$A$19</definedName>
    <definedName name="ValutaValue" localSheetId="6">'Счёт-фактура № 202'!$HA$19</definedName>
    <definedName name="VidPlatega" localSheetId="5">'Счёт № 1'!$GV$1</definedName>
    <definedName name="VsegoNaimenjvaniy" localSheetId="5">'Счёт № 1'!$A$32</definedName>
    <definedName name="VsegoPoSmete" localSheetId="0">'Дефектовка №1'!$J$43</definedName>
    <definedName name="VsegoPoSmete" localSheetId="1">'Смета №1'!$F$34</definedName>
    <definedName name="Work" localSheetId="0">'Дефектовка №1'!$E$1</definedName>
    <definedName name="Zakazchik" localSheetId="2">'КС-2 №1'!$U$4</definedName>
    <definedName name="Zakazchik" localSheetId="4">'КС-3 №1'!$GR$8</definedName>
    <definedName name="ВНС" localSheetId="0">'Дефектовка №1'!$A$3</definedName>
    <definedName name="_xlnm.Print_Titles" localSheetId="0">'Дефектовка №1'!$7:$7</definedName>
    <definedName name="_xlnm.Print_Titles" localSheetId="2">'КС-2 №1'!$27:$27</definedName>
    <definedName name="_xlnm.Print_Titles" localSheetId="3">'М-29 №1'!$13:$13</definedName>
    <definedName name="_xlnm.Print_Titles" localSheetId="1">'Смета №1'!$13:$13</definedName>
    <definedName name="ЛНИ" localSheetId="0">'Дефектовка №1'!$A$4</definedName>
    <definedName name="НР" localSheetId="0">'Дефектовка №1'!$C$35</definedName>
    <definedName name="_xlnm.Print_Area" localSheetId="0">'Дефектовка №1'!$A$5:$F$37</definedName>
    <definedName name="_xlnm.Print_Area" localSheetId="2">'КС-2 №1'!$A$1:$H$52</definedName>
    <definedName name="_xlnm.Print_Area" localSheetId="4">'КС-3 №1'!$A$1:$CB$49</definedName>
    <definedName name="_xlnm.Print_Area" localSheetId="3">'М-29 №1'!$A$1:$G$24</definedName>
    <definedName name="_xlnm.Print_Area" localSheetId="1">'Смета №1'!$A$1:$F$38</definedName>
    <definedName name="_xlnm.Print_Area" localSheetId="5">'Счёт № 1'!$A$1:$AK$45</definedName>
    <definedName name="_xlnm.Print_Area" localSheetId="6">'Счёт-фактура № 202'!$A$1:$FF$32</definedName>
    <definedName name="УЧП" localSheetId="0">'Дефектовка №1'!$J$4</definedName>
    <definedName name="УЧР" localSheetId="0">'Дефектовка №1'!$I$4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8" l="1"/>
  <c r="G15" i="8"/>
  <c r="G14" i="8"/>
  <c r="F21" i="8"/>
  <c r="AG27" i="7" l="1"/>
  <c r="BA36" i="7"/>
  <c r="AG29" i="7"/>
  <c r="BB26" i="7"/>
  <c r="BA5" i="7"/>
  <c r="DL25" i="6"/>
  <c r="CZ25" i="6"/>
  <c r="BV25" i="6"/>
  <c r="DL24" i="6"/>
  <c r="CZ24" i="6"/>
  <c r="HA24" i="6"/>
  <c r="BP37" i="5" l="1"/>
  <c r="BP35" i="5"/>
  <c r="BP31" i="5"/>
  <c r="BC31" i="5"/>
  <c r="AP31" i="5"/>
  <c r="FC34" i="5"/>
  <c r="FB13" i="5"/>
  <c r="FB11" i="5"/>
  <c r="FB9" i="5"/>
  <c r="FB7" i="5"/>
  <c r="FB12" i="4"/>
  <c r="FB14" i="4"/>
  <c r="FB10" i="4"/>
  <c r="FB8" i="4"/>
  <c r="FB6" i="4"/>
  <c r="H48" i="4"/>
  <c r="H45" i="4"/>
  <c r="H40" i="4"/>
  <c r="H39" i="4"/>
  <c r="H35" i="4"/>
  <c r="H34" i="4"/>
  <c r="H33" i="4"/>
  <c r="H32" i="4"/>
  <c r="H31" i="4"/>
  <c r="H30" i="4"/>
  <c r="H36" i="4" s="1"/>
  <c r="F34" i="3"/>
  <c r="F31" i="3"/>
  <c r="F30" i="3"/>
  <c r="F10" i="3" s="1"/>
  <c r="F29" i="3"/>
  <c r="F27" i="3"/>
  <c r="F26" i="3"/>
  <c r="F25" i="3"/>
  <c r="F22" i="3"/>
  <c r="F21" i="3"/>
  <c r="F20" i="3"/>
  <c r="F19" i="3"/>
  <c r="F18" i="3"/>
  <c r="F17" i="3"/>
  <c r="F16" i="3"/>
  <c r="F9" i="3"/>
  <c r="Q1" i="2"/>
  <c r="J29" i="2"/>
  <c r="F29" i="2"/>
  <c r="Y27" i="2"/>
  <c r="X25" i="2"/>
  <c r="W25" i="2"/>
  <c r="F25" i="2"/>
  <c r="H25" i="2"/>
  <c r="I25" i="2" s="1"/>
  <c r="J25" i="2" s="1"/>
  <c r="X24" i="2"/>
  <c r="W24" i="2"/>
  <c r="F24" i="2"/>
  <c r="H24" i="2"/>
  <c r="J20" i="2"/>
  <c r="J33" i="2" s="1"/>
  <c r="F20" i="2"/>
  <c r="F33" i="2" s="1"/>
  <c r="I3" i="2" s="1"/>
  <c r="Y18" i="2"/>
  <c r="Y31" i="2" s="1"/>
  <c r="E2" i="2" s="1"/>
  <c r="X16" i="2"/>
  <c r="W16" i="2"/>
  <c r="F16" i="2"/>
  <c r="H16" i="2"/>
  <c r="I16" i="2" s="1"/>
  <c r="X15" i="2"/>
  <c r="W15" i="2"/>
  <c r="F15" i="2"/>
  <c r="H15" i="2"/>
  <c r="I15" i="2" s="1"/>
  <c r="J15" i="2" s="1"/>
  <c r="X14" i="2"/>
  <c r="W14" i="2"/>
  <c r="F14" i="2"/>
  <c r="H14" i="2"/>
  <c r="I14" i="2" s="1"/>
  <c r="X13" i="2"/>
  <c r="W13" i="2"/>
  <c r="F13" i="2"/>
  <c r="H13" i="2"/>
  <c r="I13" i="2" s="1"/>
  <c r="J13" i="2" s="1"/>
  <c r="X12" i="2"/>
  <c r="W12" i="2"/>
  <c r="F12" i="2"/>
  <c r="H12" i="2"/>
  <c r="I12" i="2" s="1"/>
  <c r="X11" i="2"/>
  <c r="W11" i="2"/>
  <c r="F11" i="2"/>
  <c r="F18" i="2" s="1"/>
  <c r="H11" i="2"/>
  <c r="I11" i="2" s="1"/>
  <c r="J11" i="2" s="1"/>
  <c r="H43" i="4" l="1"/>
  <c r="H41" i="4"/>
  <c r="H44" i="4"/>
  <c r="F11" i="3"/>
  <c r="F27" i="2"/>
  <c r="F31" i="2"/>
  <c r="F35" i="2" s="1"/>
  <c r="F36" i="2" s="1"/>
  <c r="J3" i="2" s="1"/>
  <c r="F19" i="2"/>
  <c r="X18" i="2"/>
  <c r="W18" i="2"/>
  <c r="F28" i="2"/>
  <c r="W27" i="2"/>
  <c r="X27" i="2"/>
  <c r="J14" i="2"/>
  <c r="J19" i="2" s="1"/>
  <c r="I24" i="2"/>
  <c r="J24" i="2" s="1"/>
  <c r="J16" i="2"/>
  <c r="I2" i="2"/>
  <c r="J12" i="2"/>
  <c r="X31" i="2" l="1"/>
  <c r="E3" i="2" s="1"/>
  <c r="W31" i="2"/>
  <c r="E1" i="2" s="1"/>
  <c r="F32" i="2"/>
  <c r="G3" i="2" s="1"/>
  <c r="J18" i="2"/>
  <c r="J31" i="2" s="1"/>
  <c r="J40" i="2" s="1"/>
  <c r="J43" i="2" s="1"/>
  <c r="J2" i="2" s="1"/>
  <c r="J4" i="2" s="1"/>
  <c r="I4" i="2" s="1"/>
  <c r="J27" i="2"/>
  <c r="J28" i="2"/>
  <c r="J32" i="2" s="1"/>
  <c r="G2" i="2" s="1"/>
</calcChain>
</file>

<file path=xl/sharedStrings.xml><?xml version="1.0" encoding="utf-8"?>
<sst xmlns="http://schemas.openxmlformats.org/spreadsheetml/2006/main" count="640" uniqueCount="342">
  <si>
    <t>дефектовка</t>
  </si>
  <si>
    <t>9.1.0.5</t>
  </si>
  <si>
    <t>445924aa-8392-41ef-8d64-4a36ede7bbb4</t>
  </si>
  <si>
    <t>Коэфф. для стоимости работ</t>
  </si>
  <si>
    <t>Работа</t>
  </si>
  <si>
    <t>Материал</t>
  </si>
  <si>
    <t>Всего</t>
  </si>
  <si>
    <t>type</t>
  </si>
  <si>
    <t>Коэфф. для стоимости материалов</t>
  </si>
  <si>
    <t>См. стоимость:</t>
  </si>
  <si>
    <t>itogi</t>
  </si>
  <si>
    <t>ВНС</t>
  </si>
  <si>
    <t>План. затраты:</t>
  </si>
  <si>
    <t>ЛНИ</t>
  </si>
  <si>
    <t>УЧР / УЧП:</t>
  </si>
  <si>
    <t>Столбцы сметы</t>
  </si>
  <si>
    <t>ved</t>
  </si>
  <si>
    <t>Трудозатр единицы, чел/час</t>
  </si>
  <si>
    <t>Масса единицы, тонн</t>
  </si>
  <si>
    <t>Раз ряд</t>
  </si>
  <si>
    <t>Трудо затраты, чел/час</t>
  </si>
  <si>
    <t>Масса мусора, тонн</t>
  </si>
  <si>
    <t>Масса материала, тонн</t>
  </si>
  <si>
    <t>№ 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</si>
  <si>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</si>
  <si>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</si>
  <si>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</si>
  <si>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</si>
  <si>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</si>
  <si>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k</t>
  </si>
  <si>
    <t>Сметная цена</t>
  </si>
  <si>
    <t>Сметная стоимость</t>
  </si>
  <si>
    <t>shapka</t>
  </si>
  <si>
    <t>Трудозатр, чел/час:</t>
  </si>
  <si>
    <t>Мат-лы, тонн:</t>
  </si>
  <si>
    <t>Мусор, тонн:</t>
  </si>
  <si>
    <t>Скрыть детали</t>
  </si>
  <si>
    <t>Показать детали</t>
  </si>
  <si>
    <t>Ремонтно отделочные работы</t>
  </si>
  <si>
    <t>не облагается</t>
  </si>
  <si>
    <t>mr</t>
  </si>
  <si>
    <t>razd</t>
  </si>
  <si>
    <t>Раздел: Ванная</t>
  </si>
  <si>
    <t>vps</t>
  </si>
  <si>
    <t>pr</t>
  </si>
  <si>
    <t>Подготовка(грунтование 2 раза,обеспыливание,заделка трещин)</t>
  </si>
  <si>
    <t>м2</t>
  </si>
  <si>
    <t>дс</t>
  </si>
  <si>
    <t>a1e1ebf4-7e9c-4a6e-8780-a6d9d88e1893</t>
  </si>
  <si>
    <t>Установка маяков</t>
  </si>
  <si>
    <t>28740349-9725-4eab-881f-9f7c88357661</t>
  </si>
  <si>
    <t>Монтаж демферной ленты по периметру(по факту)</t>
  </si>
  <si>
    <t>пог.м</t>
  </si>
  <si>
    <t>367594f4-0248-45eb-96ee-8dff83b9aa0a</t>
  </si>
  <si>
    <t>.</t>
  </si>
  <si>
    <t>Стяжка пола до 20 мм (наливной ) + 100 руб. за каждые 10мм к
цене стяжки</t>
  </si>
  <si>
    <t>8d93fc2b-3518-4f34-ad2a-7c0db0443af8</t>
  </si>
  <si>
    <t>Уборка,перенос различных придметов в помещение</t>
  </si>
  <si>
    <t>шт</t>
  </si>
  <si>
    <t>862645c2-35e0-4bda-9888-7d0300601ae9</t>
  </si>
  <si>
    <t>Укладка кварцвинила на подложку</t>
  </si>
  <si>
    <t>nps</t>
  </si>
  <si>
    <t>irazd</t>
  </si>
  <si>
    <t>Итого по разделу:</t>
  </si>
  <si>
    <t>irazdp</t>
  </si>
  <si>
    <t>в т.ч. стоимость работ:</t>
  </si>
  <si>
    <t>irazdm</t>
  </si>
  <si>
    <t>в т.ч. стоимость материалов:</t>
  </si>
  <si>
    <t>Раздел: ванная</t>
  </si>
  <si>
    <t>Чистка стыков перед затиркой</t>
  </si>
  <si>
    <t>Затирка плитки сух.смесями шов 45 градусов</t>
  </si>
  <si>
    <t>itog</t>
  </si>
  <si>
    <t>Итого по разделам:</t>
  </si>
  <si>
    <t>itogp</t>
  </si>
  <si>
    <t>itogm</t>
  </si>
  <si>
    <t>empt</t>
  </si>
  <si>
    <t>nr</t>
  </si>
  <si>
    <t>Прочие расходы:</t>
  </si>
  <si>
    <t>ived</t>
  </si>
  <si>
    <t>Итого по ведомости:</t>
  </si>
  <si>
    <t>Надбавки и скидки для сметы (Подвал сметы)</t>
  </si>
  <si>
    <t>smitograzd</t>
  </si>
  <si>
    <t>lz_nothi</t>
  </si>
  <si>
    <t>nds</t>
  </si>
  <si>
    <t>НДС:</t>
  </si>
  <si>
    <t>smitog</t>
  </si>
  <si>
    <t>Всего по смете:</t>
  </si>
  <si>
    <t>endall</t>
  </si>
  <si>
    <t>смета</t>
  </si>
  <si>
    <t>6-графка (книжная)</t>
  </si>
  <si>
    <t>Утверждаю:</t>
  </si>
  <si>
    <t>Согласовано:</t>
  </si>
  <si>
    <t>Смета</t>
  </si>
  <si>
    <t>Сметная стоимость:</t>
  </si>
  <si>
    <t>Стоимость работы:</t>
  </si>
  <si>
    <t>Стоимость материалов:</t>
  </si>
  <si>
    <t>Ед. изм.</t>
  </si>
  <si>
    <t>8e85a709-e4d3-4c09-bb8a-7bd8d9487ef2</t>
  </si>
  <si>
    <t>ЗАО "Заказчик"</t>
  </si>
  <si>
    <t>Генеральный директор ЗАО "Заказчик"</t>
  </si>
  <si>
    <t xml:space="preserve">                                                 / Иванов И.И. /</t>
  </si>
  <si>
    <t>a26301f9-78db-4940-86ed-8f0ba2ce8b8e</t>
  </si>
  <si>
    <t>ООО РСК ДОММАСТЕР</t>
  </si>
  <si>
    <t>Генеральный директор ООО РСК ДОММАСТЕР</t>
  </si>
  <si>
    <t xml:space="preserve">                                                 / Тимербулатов Зинур Динарович /</t>
  </si>
  <si>
    <t>19.02.2026                            м.п.</t>
  </si>
  <si>
    <t>Смета № 1</t>
  </si>
  <si>
    <t>г. Москва, ул. Самая длинная, д.54</t>
  </si>
  <si>
    <t>на Ремонтно отделочные работы по адресу: г. Москва, ул. Самая длинная, д.54</t>
  </si>
  <si>
    <t>Приложение № 1</t>
  </si>
  <si>
    <t>к Договору № _____ от 19.02.2026г.</t>
  </si>
  <si>
    <t>составлена в уровне текущих цен на Февраль 2026г.</t>
  </si>
  <si>
    <t>Итого по разделу</t>
  </si>
  <si>
    <t>Итого по разделам</t>
  </si>
  <si>
    <t>в т.ч. стоимость материалов и машин:</t>
  </si>
  <si>
    <t>Всего по смете</t>
  </si>
  <si>
    <t>Составил: ___________________________________ / ______________________________________ /</t>
  </si>
  <si>
    <t>Проверил: ___________________________________ / ______________________________________ /</t>
  </si>
  <si>
    <t>1</t>
  </si>
  <si>
    <t>2</t>
  </si>
  <si>
    <t>3</t>
  </si>
  <si>
    <t>4</t>
  </si>
  <si>
    <t>5</t>
  </si>
  <si>
    <t>6</t>
  </si>
  <si>
    <t>В течение 5 (пяти) банковских дней</t>
  </si>
  <si>
    <t>в соответствии с Договором</t>
  </si>
  <si>
    <t>в течение 20 (двадцати) рабочих дней с момента начала работ</t>
  </si>
  <si>
    <t>2 (два) года</t>
  </si>
  <si>
    <t>274578e1-3367-44d0-a423-7540a6899bc8</t>
  </si>
  <si>
    <t>926265f7-c97d-4f52-ab25-d741a385c40d</t>
  </si>
  <si>
    <t>5c7fadd1-e67a-4cc5-862b-ee5b43e62af6</t>
  </si>
  <si>
    <t>349f053d-bcfd-46ba-96dd-8770f6620208</t>
  </si>
  <si>
    <t>ab6d014c-7f9a-4549-8dc0-d4eb6d52f454</t>
  </si>
  <si>
    <t>a2168c60-0820-4501-844b-19c490ed9a3c</t>
  </si>
  <si>
    <t>88954e44-f4b8-4067-9c59-744fad92700f</t>
  </si>
  <si>
    <t>db5169b1-b704-495b-9b1e-3f64742ce051</t>
  </si>
  <si>
    <t>aa4ff4de-da9f-4178-b3d4-3c38b5bf5b42</t>
  </si>
  <si>
    <t>66eaf783-850b-4ad2-8893-549c66d5ec9a</t>
  </si>
  <si>
    <t>e2b3bea7-6d00-45a0-a852-b79027bf2add</t>
  </si>
  <si>
    <t>08968397-6063-4f3f-ba90-3cdc6d2d0a33</t>
  </si>
  <si>
    <t>e4e986f8-64b7-4517-8c5d-454716ac8380</t>
  </si>
  <si>
    <t>b9f24bce-ecdc-4ea0-84cd-62e4cc7ebd5c</t>
  </si>
  <si>
    <t>538a5c03-f9ab-4ea9-88b0-1470611b5735</t>
  </si>
  <si>
    <t>d0f129d9-80a6-4c71-8db1-b6fab8b46569</t>
  </si>
  <si>
    <t>e6e9bba0-a3cb-44d3-9b49-1f151e4c7fed</t>
  </si>
  <si>
    <t>ab8f8a88-c5b2-437b-ac42-b5549c082c37</t>
  </si>
  <si>
    <t>c087fcd8-3bd3-450d-8577-cc76e482af6f</t>
  </si>
  <si>
    <t>b5cab0f9-1348-409f-9054-63ed3026c5f3</t>
  </si>
  <si>
    <t>b8fdbd52-322f-4372-aeb9-3af97eeb659d</t>
  </si>
  <si>
    <t>кс-2</t>
  </si>
  <si>
    <t>9008c503-baca-49a2-b550-26e32b81683f</t>
  </si>
  <si>
    <t>Инвестор:</t>
  </si>
  <si>
    <t>Заказчик:</t>
  </si>
  <si>
    <t>Подрядчик:</t>
  </si>
  <si>
    <t>Стройка:</t>
  </si>
  <si>
    <t>Объект:</t>
  </si>
  <si>
    <t>Номер</t>
  </si>
  <si>
    <t>по порядку</t>
  </si>
  <si>
    <t>по смете</t>
  </si>
  <si>
    <t>организация, адрес, телефон, факс</t>
  </si>
  <si>
    <t>наименование, адрес</t>
  </si>
  <si>
    <t xml:space="preserve">                                                                                                                            наименование</t>
  </si>
  <si>
    <t>АКТ</t>
  </si>
  <si>
    <t>О ПРИЁМКЕ ВЫПОЛНЕННЫХ РАБОТ</t>
  </si>
  <si>
    <t>Наименование работ</t>
  </si>
  <si>
    <t>Номер документа</t>
  </si>
  <si>
    <t xml:space="preserve">Сметная (договорная) стоимость в соответствии с договором подряда (субподряда) </t>
  </si>
  <si>
    <t>Номер единичной расценки</t>
  </si>
  <si>
    <t>Дата составления</t>
  </si>
  <si>
    <t>Унифицированная форма № КС- 2</t>
  </si>
  <si>
    <t>Утверждена постановлением Госкомстата России</t>
  </si>
  <si>
    <t>от 11.11.99 № 100</t>
  </si>
  <si>
    <t>Договор подряда (контракт)</t>
  </si>
  <si>
    <t>руб.</t>
  </si>
  <si>
    <t>Выполнено работ</t>
  </si>
  <si>
    <t>Количество</t>
  </si>
  <si>
    <t>Форма по ОКУД</t>
  </si>
  <si>
    <t>по ОКПО</t>
  </si>
  <si>
    <t>Вид деятельности по ОКВД</t>
  </si>
  <si>
    <t>номер</t>
  </si>
  <si>
    <t>дата</t>
  </si>
  <si>
    <t>Вид операции</t>
  </si>
  <si>
    <t>Отчётный период</t>
  </si>
  <si>
    <t>с</t>
  </si>
  <si>
    <t>Цена за единицу, руб.</t>
  </si>
  <si>
    <t>Код</t>
  </si>
  <si>
    <t>0322005</t>
  </si>
  <si>
    <t>по</t>
  </si>
  <si>
    <t>Стоимость, руб.</t>
  </si>
  <si>
    <t>Всего по Акту:</t>
  </si>
  <si>
    <t>Сдал:</t>
  </si>
  <si>
    <t>м.п.</t>
  </si>
  <si>
    <t>Принял:</t>
  </si>
  <si>
    <t/>
  </si>
  <si>
    <t>ЗАО "Заказчик", г. Москва, ул. Самая длинная, д.54, тел: 8 (495) 123-45-67</t>
  </si>
  <si>
    <t>23232321</t>
  </si>
  <si>
    <t>Генеральный директор ЗАО "Заказчик" __________________________ / Иванов И.И. /</t>
  </si>
  <si>
    <t>ООО РСК ДОММАСТЕР, 	453261, Башкортостан респ., г. Салават, ул. Уфимская, д. 37 к. А , тел: 89174806003</t>
  </si>
  <si>
    <t>61145824</t>
  </si>
  <si>
    <t>Генеральный директор ООО РСК ДОММАСТЕР __________________________ / Тимербулатов Зинур Динарович /</t>
  </si>
  <si>
    <t>Ремонтно отделочные работы, г. Москва, ул. Самая длинная, д.54</t>
  </si>
  <si>
    <t>Унифицированная форма № КС-3</t>
  </si>
  <si>
    <t>от 11 ноября 1999 г. № 100</t>
  </si>
  <si>
    <t>0322001</t>
  </si>
  <si>
    <t>Вид деятельности по ОКДП</t>
  </si>
  <si>
    <t>Отчетный период</t>
  </si>
  <si>
    <t>СПРАВКА</t>
  </si>
  <si>
    <t>О СТОИМОСТИ ВЫПОЛНЕННЫХ РАБОТ И ЗАТРАТ</t>
  </si>
  <si>
    <t>Номер по порядку</t>
  </si>
  <si>
    <t>Наименование пусковых комплексов, этапов, объектов, видов выполненных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</si>
  <si>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</si>
  <si>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</si>
  <si>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</t>
  </si>
  <si>
    <t>в том числе за отчетный период</t>
  </si>
  <si>
    <t>Всего работ и затрат, включаемых в стоимость работ</t>
  </si>
  <si>
    <t>в том числе:</t>
  </si>
  <si>
    <t>Итого</t>
  </si>
  <si>
    <t>Сумма НДС</t>
  </si>
  <si>
    <t>Всего с учетом НДС</t>
  </si>
  <si>
    <t>Заказчик (Генподрядчик)</t>
  </si>
  <si>
    <t>Подрядчик (Субподрядчик)</t>
  </si>
  <si>
    <t>М.П.</t>
  </si>
  <si>
    <t>кс-3</t>
  </si>
  <si>
    <t>5c44c4a5-dbed-4ce0-9be9-a817b84df6f6</t>
  </si>
  <si>
    <t>ЗАО "Заказчик", г. Москва, ул. Самая длинная, д.54, 8 (495) 123-45-67</t>
  </si>
  <si>
    <t>Генеральный директор ____________________ / Иванов И.И. /</t>
  </si>
  <si>
    <t>ООО РСК ДОММАСТЕР, 	453261, Башкортостан респ., г. Салават, ул. Уфимская, д. 37 к. А , 89174806003</t>
  </si>
  <si>
    <t>Генеральный директор ____________________ / Тимербулатов Зинур Динарович /</t>
  </si>
  <si>
    <t>счёт-фактура</t>
  </si>
  <si>
    <t>к Постановлению Правительства</t>
  </si>
  <si>
    <t>Российской Федерации</t>
  </si>
  <si>
    <t>от 26.12.2011 №1137</t>
  </si>
  <si>
    <t>9.0.0.0</t>
  </si>
  <si>
    <t>Валюта: наименование, код:  Российский рубль, 643</t>
  </si>
  <si>
    <t>Российский рубль, 643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</si>
  <si>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</si>
  <si>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</si>
  <si>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</t>
  </si>
  <si>
    <t>Коли - чество (объём)</t>
  </si>
  <si>
    <t>Цена (тариф) 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</si>
  <si>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</si>
  <si>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</si>
  <si>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</si>
  <si>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 налога, предъяв- ляемая покупателю</t>
  </si>
  <si>
    <t>Стоимость товаров (работ, услуг), имущественных прав с учетом налога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</si>
  <si>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</si>
  <si>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</si>
  <si>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         о        д</t>
  </si>
  <si>
    <t>условное обозначение (националь- ное)</t>
  </si>
  <si>
    <t>цифро вой код</t>
  </si>
  <si>
    <t>Краткое наименова ние</t>
  </si>
  <si>
    <t>1а</t>
  </si>
  <si>
    <t>1б</t>
  </si>
  <si>
    <t>2а</t>
  </si>
  <si>
    <t>10а</t>
  </si>
  <si>
    <t>---</t>
  </si>
  <si>
    <t>без акциза</t>
  </si>
  <si>
    <t>РФ</t>
  </si>
  <si>
    <t>Всего к оплате</t>
  </si>
  <si>
    <t>x</t>
  </si>
  <si>
    <t>Руководитель организации</t>
  </si>
  <si>
    <t>Главный бухгалтер</t>
  </si>
  <si>
    <t>или иное уполномоченное лицо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</si>
  <si>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</si>
  <si>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</si>
  <si>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</si>
  <si>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</si>
  <si>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72f09610-09f6-4df3-8872-30539d8ab9ce</t>
  </si>
  <si>
    <t>КС-3 №1</t>
  </si>
  <si>
    <t>(в редакции постановления Правительства РФ от 16 августа 2024г. № 1096)</t>
  </si>
  <si>
    <t>Продавец:  ОБЩЕСТВО С ОГРАНИЧЕННОЙ ОТВЕТСТВЕННОСТЬЮ РЕМОНТНО-СТРОИТЕЛЬНАЯ КОМПАНИЯ "ДОММАСТЕР" (ООО РСК ДОММАСТЕР)</t>
  </si>
  <si>
    <t xml:space="preserve">Адрес:  	453261, Башкортостан респ., г. Салават, ул. Уфимская, д. 37 к. А </t>
  </si>
  <si>
    <t>ИНН/КПП продавца:  0266032160/026601001</t>
  </si>
  <si>
    <t>/ Тимербулатов Зинур Динарович /</t>
  </si>
  <si>
    <t>Покупатель:  ЗАО "Заказчик"</t>
  </si>
  <si>
    <t>Адрес:  г. Москва, ул. Самая длинная, д.54</t>
  </si>
  <si>
    <t>ИНН/КПП покупателя:  1245125636/125465225</t>
  </si>
  <si>
    <t xml:space="preserve">Идентификатор государственного контракта, договора (соглашения) (при наличии):  </t>
  </si>
  <si>
    <t>Ремонтно отделочные работы по адресу: г. Москва, ул. Самая длинная, д.54 по Договору № _____ от 19.02.2026г.</t>
  </si>
  <si>
    <t>202</t>
  </si>
  <si>
    <t>СЧЕТ-ФАКТУРА № 202 от 19.02.2026г.</t>
  </si>
  <si>
    <t>ИСПРАВЛЕНИЕ № 19.02.2026 от 19.02.2026г.</t>
  </si>
  <si>
    <t xml:space="preserve">Грузоотправитель и его адрес:  ООО РСК ДОММАСТЕР, 	453261, Башкортостан респ., г. Салават, ул. Уфимская, д. 37 к. А </t>
  </si>
  <si>
    <t>Грузополучатель и его адрес:  Мидхат</t>
  </si>
  <si>
    <t>Мидхат</t>
  </si>
  <si>
    <t>6a1e23f5-4334-4a9f-9656-dc0524516d63</t>
  </si>
  <si>
    <t>К платежно-расчетному документу: 1</t>
  </si>
  <si>
    <t>Документ об отгрузке: 1</t>
  </si>
  <si>
    <t>счёт</t>
  </si>
  <si>
    <t>Адрес:</t>
  </si>
  <si>
    <t>Образец заполнения платёжного поручения</t>
  </si>
  <si>
    <t>Банк получателя</t>
  </si>
  <si>
    <t>ИНН</t>
  </si>
  <si>
    <t>КПП</t>
  </si>
  <si>
    <t>Получатель</t>
  </si>
  <si>
    <t>БИК</t>
  </si>
  <si>
    <t>Сч. №</t>
  </si>
  <si>
    <t>Счёт № 1 от 19.02.2026г.</t>
  </si>
  <si>
    <t>Покупатель:</t>
  </si>
  <si>
    <t>Грузополучатель:</t>
  </si>
  <si>
    <t>№</t>
  </si>
  <si>
    <t>Товары (работы, услуги)</t>
  </si>
  <si>
    <t>Сумма</t>
  </si>
  <si>
    <t>Итого:</t>
  </si>
  <si>
    <t>в том числе НДС:</t>
  </si>
  <si>
    <t>Всего к оплате:</t>
  </si>
  <si>
    <t>Всего наименований 1, на сумму 0,00 руб.</t>
  </si>
  <si>
    <t>Ноль рублей 00 копеек</t>
  </si>
  <si>
    <t>В платёжном поручении ссылка на номер Договора обязательна!!!</t>
  </si>
  <si>
    <t>Руководитель:</t>
  </si>
  <si>
    <t>Главный бухгалтер:</t>
  </si>
  <si>
    <t xml:space="preserve">	453261, Башкортостан респ., г. Салават, ул. Уфимская, д. 37 к. А , тел: 89174806003</t>
  </si>
  <si>
    <t>0266032160</t>
  </si>
  <si>
    <t>026601001</t>
  </si>
  <si>
    <t xml:space="preserve"> ___________________________________ / Тимербулатов Зинур Динарович /</t>
  </si>
  <si>
    <t xml:space="preserve"> ___________________________________ /___________________________ /</t>
  </si>
  <si>
    <t>Оплата по Договору</t>
  </si>
  <si>
    <t>Оплата по Договору № 1 от 19.02.2026г.</t>
  </si>
  <si>
    <t>Форма М-29</t>
  </si>
  <si>
    <t>м-29</t>
  </si>
  <si>
    <t>Начальник участка / прораб:</t>
  </si>
  <si>
    <t>Ведомость списания материалов №</t>
  </si>
  <si>
    <t>a70b928e-2cbf-4ff2-95b6-8a93adb7fa70</t>
  </si>
  <si>
    <t>(ОТЧЕТ О РАСХОДЕ ОСНОВНЫХ МАТЕРИАЛОВ В СОПОСТАВЛЕНИИ С РАСХОДОМ, ОПРЕДЕЛЕННЫМ ПО НОРМАМ / СМЕТЕ)</t>
  </si>
  <si>
    <t xml:space="preserve">к Акту КС-2 № </t>
  </si>
  <si>
    <t>за период:</t>
  </si>
  <si>
    <t xml:space="preserve">по Договору № </t>
  </si>
  <si>
    <t xml:space="preserve">Заказчик: </t>
  </si>
  <si>
    <t xml:space="preserve">Составлена: </t>
  </si>
  <si>
    <t>№   п/п</t>
  </si>
  <si>
    <t>№ поз. по Смете</t>
  </si>
  <si>
    <t>Наименование ресурсов, конструкций и изделий</t>
  </si>
  <si>
    <t>Запланированный расход (по смете)</t>
  </si>
  <si>
    <t>Фактический расход (по Акту КС-2)</t>
  </si>
  <si>
    <t>Экон.(+) / Перер.(-)</t>
  </si>
  <si>
    <t>г.</t>
  </si>
  <si>
    <t>____________________ / __________________ /</t>
  </si>
  <si>
    <t>bd546175-07e4-44c4-8642-05d538976348</t>
  </si>
  <si>
    <t xml:space="preserve"> от 19.02.2026 (Ремонтно отделочные работы)</t>
  </si>
  <si>
    <t>1 от 19.02.2026</t>
  </si>
  <si>
    <t>с 19.02.2026 по 19.02.2026</t>
  </si>
  <si>
    <t>Итого по ведомости:  0 позиций.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</si>
</sst>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;[Red]\-#,##0.00"/>
    <numFmt numFmtId="166" formatCode="#,##0.00000;[Red]\-#,##0.00000"/>
    <numFmt numFmtId="167" formatCode="#,##0.00_ ;[Red]\-#,##0.00\ "/>
    <numFmt numFmtId="168" formatCode="[$-F800]dddd\,\ mmmm\ dd\,\ yyyy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color rgb="FF8B4513"/>
      <name val="Times New Roman"/>
      <family val="1"/>
      <charset val="204"/>
    </font>
    <font>
      <b/>
      <sz val="10"/>
      <color rgb="FF8B4513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80808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80808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FFFFFF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4"/>
      <color rgb="FFFFFFFF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D6D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1" fillId="0" borderId="0"/>
  </cellStyleXfs>
  <cellXfs count="40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0" fontId="2" fillId="4" borderId="12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right" vertical="center"/>
    </xf>
    <xf numFmtId="165" fontId="2" fillId="3" borderId="7" xfId="0" applyNumberFormat="1" applyFont="1" applyFill="1" applyBorder="1" applyAlignment="1">
      <alignment horizontal="left" vertical="center" indent="1"/>
    </xf>
    <xf numFmtId="0" fontId="2" fillId="2" borderId="7" xfId="0" applyFont="1" applyFill="1" applyBorder="1"/>
    <xf numFmtId="0" fontId="9" fillId="2" borderId="7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165" fontId="2" fillId="3" borderId="7" xfId="0" applyNumberFormat="1" applyFont="1" applyFill="1" applyBorder="1" applyAlignment="1">
      <alignment horizontal="right" vertical="center"/>
    </xf>
    <xf numFmtId="165" fontId="2" fillId="3" borderId="7" xfId="0" applyNumberFormat="1" applyFont="1" applyFill="1" applyBorder="1" applyAlignment="1">
      <alignment horizontal="right" vertical="center"/>
    </xf>
    <xf numFmtId="165" fontId="9" fillId="3" borderId="7" xfId="0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center" vertical="center"/>
    </xf>
    <xf numFmtId="165" fontId="10" fillId="3" borderId="7" xfId="0" applyNumberFormat="1" applyFont="1" applyFill="1" applyBorder="1" applyAlignment="1">
      <alignment horizontal="right" vertical="center"/>
    </xf>
    <xf numFmtId="165" fontId="11" fillId="3" borderId="7" xfId="0" applyNumberFormat="1" applyFont="1" applyFill="1" applyBorder="1" applyAlignment="1">
      <alignment horizontal="right" vertical="center"/>
    </xf>
    <xf numFmtId="9" fontId="7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64" fontId="12" fillId="3" borderId="7" xfId="0" applyNumberFormat="1" applyFont="1" applyFill="1" applyBorder="1" applyAlignment="1">
      <alignment horizontal="right" vertical="center"/>
    </xf>
    <xf numFmtId="165" fontId="13" fillId="3" borderId="7" xfId="0" applyNumberFormat="1" applyFont="1" applyFill="1" applyBorder="1" applyAlignment="1">
      <alignment horizontal="right" vertical="center"/>
    </xf>
    <xf numFmtId="0" fontId="14" fillId="0" borderId="7" xfId="0" applyFont="1" applyBorder="1" applyAlignment="1">
      <alignment horizontal="center" vertical="center" wrapText="1"/>
    </xf>
    <xf numFmtId="0" fontId="2" fillId="4" borderId="7" xfId="0" applyFont="1" applyFill="1" applyBorder="1"/>
    <xf numFmtId="0" fontId="2" fillId="4" borderId="7" xfId="0" applyFont="1" applyFill="1" applyBorder="1"/>
    <xf numFmtId="0" fontId="9" fillId="4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49" fontId="4" fillId="0" borderId="0" xfId="0" applyNumberFormat="1" applyFont="1"/>
    <xf numFmtId="0" fontId="3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9" xfId="0" applyFont="1" applyFill="1" applyBorder="1"/>
    <xf numFmtId="0" fontId="17" fillId="0" borderId="0" xfId="0" applyFont="1" applyFill="1"/>
    <xf numFmtId="0" fontId="18" fillId="0" borderId="0" xfId="0" applyFont="1"/>
    <xf numFmtId="0" fontId="4" fillId="0" borderId="6" xfId="0" applyFont="1" applyBorder="1"/>
    <xf numFmtId="0" fontId="18" fillId="4" borderId="13" xfId="0" applyFont="1" applyFill="1" applyBorder="1"/>
    <xf numFmtId="0" fontId="15" fillId="0" borderId="6" xfId="0" applyFont="1" applyFill="1" applyBorder="1" applyAlignment="1">
      <alignment horizontal="right"/>
    </xf>
    <xf numFmtId="0" fontId="15" fillId="0" borderId="6" xfId="0" applyFont="1" applyFill="1" applyBorder="1" applyAlignment="1">
      <alignment horizontal="left"/>
    </xf>
    <xf numFmtId="0" fontId="18" fillId="0" borderId="6" xfId="0" applyFont="1" applyFill="1" applyBorder="1"/>
    <xf numFmtId="0" fontId="2" fillId="0" borderId="14" xfId="0" applyFont="1" applyBorder="1"/>
    <xf numFmtId="0" fontId="2" fillId="0" borderId="14" xfId="0" applyFont="1" applyBorder="1" applyAlignment="1">
      <alignment horizontal="left" vertical="top"/>
    </xf>
    <xf numFmtId="0" fontId="18" fillId="4" borderId="0" xfId="0" applyFont="1" applyFill="1" applyAlignment="1">
      <alignment horizontal="center"/>
    </xf>
    <xf numFmtId="165" fontId="18" fillId="0" borderId="16" xfId="0" applyNumberFormat="1" applyFont="1" applyBorder="1" applyAlignment="1">
      <alignment horizontal="right"/>
    </xf>
    <xf numFmtId="49" fontId="18" fillId="0" borderId="15" xfId="0" applyNumberFormat="1" applyFont="1" applyFill="1" applyBorder="1" applyAlignment="1">
      <alignment horizontal="left" vertical="top"/>
    </xf>
    <xf numFmtId="0" fontId="18" fillId="0" borderId="14" xfId="0" applyNumberFormat="1" applyFont="1" applyFill="1" applyBorder="1" applyAlignment="1">
      <alignment horizontal="left" vertical="top" wrapText="1"/>
    </xf>
    <xf numFmtId="0" fontId="18" fillId="0" borderId="14" xfId="0" applyNumberFormat="1" applyFont="1" applyFill="1" applyBorder="1" applyAlignment="1">
      <alignment horizontal="left"/>
    </xf>
    <xf numFmtId="165" fontId="18" fillId="0" borderId="14" xfId="0" applyNumberFormat="1" applyFont="1" applyFill="1" applyBorder="1" applyAlignment="1">
      <alignment horizontal="right"/>
    </xf>
    <xf numFmtId="165" fontId="18" fillId="0" borderId="16" xfId="0" applyNumberFormat="1" applyFont="1" applyFill="1" applyBorder="1" applyAlignment="1">
      <alignment horizontal="right"/>
    </xf>
    <xf numFmtId="165" fontId="6" fillId="0" borderId="14" xfId="0" applyNumberFormat="1" applyFont="1" applyFill="1" applyBorder="1" applyAlignment="1">
      <alignment horizontal="right"/>
    </xf>
    <xf numFmtId="0" fontId="6" fillId="0" borderId="15" xfId="0" applyNumberFormat="1" applyFont="1" applyFill="1" applyBorder="1" applyAlignment="1">
      <alignment horizontal="right"/>
    </xf>
    <xf numFmtId="165" fontId="6" fillId="0" borderId="15" xfId="0" applyNumberFormat="1" applyFont="1" applyFill="1" applyBorder="1" applyAlignment="1">
      <alignment horizontal="right"/>
    </xf>
    <xf numFmtId="166" fontId="6" fillId="0" borderId="14" xfId="0" applyNumberFormat="1" applyFont="1" applyFill="1" applyBorder="1" applyAlignment="1">
      <alignment horizontal="right"/>
    </xf>
    <xf numFmtId="1" fontId="6" fillId="0" borderId="14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left" vertical="top" wrapText="1"/>
    </xf>
    <xf numFmtId="165" fontId="2" fillId="0" borderId="0" xfId="0" applyNumberFormat="1" applyFont="1" applyAlignment="1">
      <alignment horizontal="right"/>
    </xf>
    <xf numFmtId="0" fontId="15" fillId="0" borderId="3" xfId="0" applyFont="1" applyBorder="1" applyAlignment="1">
      <alignment horizontal="left"/>
    </xf>
    <xf numFmtId="165" fontId="15" fillId="0" borderId="3" xfId="0" applyNumberFormat="1" applyFont="1" applyBorder="1" applyAlignment="1">
      <alignment horizontal="right"/>
    </xf>
    <xf numFmtId="0" fontId="15" fillId="0" borderId="3" xfId="0" applyFont="1" applyBorder="1" applyAlignment="1"/>
    <xf numFmtId="0" fontId="15" fillId="4" borderId="11" xfId="0" applyFont="1" applyFill="1" applyBorder="1" applyAlignment="1"/>
    <xf numFmtId="0" fontId="19" fillId="0" borderId="0" xfId="0" applyFont="1" applyBorder="1" applyAlignment="1">
      <alignment horizontal="left"/>
    </xf>
    <xf numFmtId="165" fontId="19" fillId="0" borderId="0" xfId="0" applyNumberFormat="1" applyFont="1" applyBorder="1" applyAlignment="1">
      <alignment horizontal="right"/>
    </xf>
    <xf numFmtId="0" fontId="19" fillId="0" borderId="0" xfId="0" applyFont="1" applyBorder="1" applyAlignment="1"/>
    <xf numFmtId="0" fontId="19" fillId="4" borderId="12" xfId="0" applyFont="1" applyFill="1" applyBorder="1" applyAlignment="1"/>
    <xf numFmtId="165" fontId="15" fillId="0" borderId="0" xfId="0" applyNumberFormat="1" applyFont="1" applyAlignment="1">
      <alignment horizontal="right"/>
    </xf>
    <xf numFmtId="0" fontId="19" fillId="0" borderId="0" xfId="0" applyFont="1"/>
    <xf numFmtId="165" fontId="19" fillId="0" borderId="0" xfId="0" applyNumberFormat="1" applyFont="1" applyAlignment="1">
      <alignment horizontal="right"/>
    </xf>
    <xf numFmtId="0" fontId="9" fillId="0" borderId="0" xfId="0" applyFont="1"/>
    <xf numFmtId="0" fontId="13" fillId="4" borderId="17" xfId="0" applyFont="1" applyFill="1" applyBorder="1" applyAlignment="1"/>
    <xf numFmtId="0" fontId="2" fillId="4" borderId="17" xfId="0" applyFont="1" applyFill="1" applyBorder="1"/>
    <xf numFmtId="0" fontId="9" fillId="0" borderId="0" xfId="0" applyFont="1" applyAlignment="1">
      <alignment horizontal="left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18" xfId="0" applyNumberFormat="1" applyFont="1" applyFill="1" applyBorder="1" applyAlignment="1">
      <alignment horizontal="right" vertical="center"/>
    </xf>
    <xf numFmtId="165" fontId="10" fillId="3" borderId="4" xfId="0" applyNumberFormat="1" applyFont="1" applyFill="1" applyBorder="1" applyAlignment="1">
      <alignment horizontal="right" vertical="center"/>
    </xf>
    <xf numFmtId="165" fontId="10" fillId="3" borderId="18" xfId="0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/>
    <xf numFmtId="165" fontId="18" fillId="0" borderId="0" xfId="0" applyNumberFormat="1" applyFont="1" applyFill="1" applyBorder="1" applyAlignment="1">
      <alignment horizontal="right"/>
    </xf>
    <xf numFmtId="165" fontId="18" fillId="0" borderId="9" xfId="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horizontal="left"/>
    </xf>
    <xf numFmtId="165" fontId="15" fillId="0" borderId="0" xfId="0" applyNumberFormat="1" applyFont="1" applyFill="1" applyBorder="1" applyAlignment="1">
      <alignment horizontal="right"/>
    </xf>
    <xf numFmtId="165" fontId="15" fillId="0" borderId="9" xfId="0" applyNumberFormat="1" applyFont="1" applyFill="1" applyBorder="1" applyAlignment="1">
      <alignment horizontal="right"/>
    </xf>
    <xf numFmtId="0" fontId="15" fillId="0" borderId="0" xfId="0" applyFont="1" applyFill="1" applyBorder="1" applyAlignment="1"/>
    <xf numFmtId="0" fontId="20" fillId="4" borderId="12" xfId="0" applyFont="1" applyFill="1" applyBorder="1" applyAlignment="1"/>
    <xf numFmtId="0" fontId="19" fillId="0" borderId="0" xfId="0" applyFont="1" applyFill="1" applyBorder="1" applyAlignment="1">
      <alignment horizontal="left"/>
    </xf>
    <xf numFmtId="165" fontId="19" fillId="0" borderId="0" xfId="0" applyNumberFormat="1" applyFont="1" applyFill="1" applyBorder="1" applyAlignment="1">
      <alignment horizontal="right"/>
    </xf>
    <xf numFmtId="165" fontId="19" fillId="0" borderId="9" xfId="0" applyNumberFormat="1" applyFont="1" applyFill="1" applyBorder="1" applyAlignment="1">
      <alignment horizontal="right"/>
    </xf>
    <xf numFmtId="0" fontId="19" fillId="0" borderId="0" xfId="0" applyFont="1" applyFill="1" applyBorder="1" applyAlignment="1"/>
    <xf numFmtId="0" fontId="21" fillId="4" borderId="12" xfId="0" applyFont="1" applyFill="1" applyBorder="1" applyAlignment="1"/>
    <xf numFmtId="0" fontId="22" fillId="0" borderId="0" xfId="0" applyFont="1"/>
    <xf numFmtId="0" fontId="22" fillId="4" borderId="12" xfId="0" applyFont="1" applyFill="1" applyBorder="1"/>
    <xf numFmtId="9" fontId="6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/>
    <xf numFmtId="0" fontId="23" fillId="4" borderId="12" xfId="0" applyFont="1" applyFill="1" applyBorder="1" applyAlignment="1"/>
    <xf numFmtId="0" fontId="18" fillId="0" borderId="9" xfId="0" applyFont="1" applyFill="1" applyBorder="1" applyAlignment="1"/>
    <xf numFmtId="0" fontId="15" fillId="0" borderId="9" xfId="0" applyFont="1" applyFill="1" applyBorder="1" applyAlignment="1"/>
    <xf numFmtId="0" fontId="22" fillId="4" borderId="10" xfId="0" applyFont="1" applyFill="1" applyBorder="1"/>
    <xf numFmtId="0" fontId="23" fillId="0" borderId="0" xfId="0" applyFont="1"/>
    <xf numFmtId="0" fontId="2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9" fontId="15" fillId="0" borderId="0" xfId="0" applyNumberFormat="1" applyFont="1" applyFill="1" applyBorder="1" applyAlignment="1">
      <alignment horizontal="left"/>
    </xf>
    <xf numFmtId="0" fontId="2" fillId="0" borderId="6" xfId="0" applyFont="1" applyFill="1" applyBorder="1"/>
    <xf numFmtId="0" fontId="22" fillId="0" borderId="6" xfId="0" applyFont="1" applyBorder="1"/>
    <xf numFmtId="0" fontId="2" fillId="0" borderId="10" xfId="0" applyFont="1" applyFill="1" applyBorder="1"/>
    <xf numFmtId="0" fontId="26" fillId="0" borderId="0" xfId="0" applyFont="1"/>
    <xf numFmtId="0" fontId="2" fillId="0" borderId="0" xfId="0" applyFont="1" applyAlignment="1">
      <alignment horizontal="left" vertical="top"/>
    </xf>
    <xf numFmtId="0" fontId="2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165" fontId="25" fillId="0" borderId="0" xfId="0" applyNumberFormat="1" applyFont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14" fontId="4" fillId="0" borderId="0" xfId="0" applyNumberFormat="1" applyFont="1"/>
    <xf numFmtId="19" fontId="4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165" fontId="9" fillId="0" borderId="0" xfId="0" applyNumberFormat="1" applyFont="1" applyAlignment="1">
      <alignment horizontal="right" vertical="top"/>
    </xf>
    <xf numFmtId="49" fontId="18" fillId="0" borderId="19" xfId="0" applyNumberFormat="1" applyFont="1" applyFill="1" applyBorder="1" applyAlignment="1">
      <alignment horizontal="left" vertical="top"/>
    </xf>
    <xf numFmtId="0" fontId="18" fillId="0" borderId="20" xfId="0" applyNumberFormat="1" applyFont="1" applyFill="1" applyBorder="1" applyAlignment="1">
      <alignment horizontal="left" vertical="top" wrapText="1"/>
    </xf>
    <xf numFmtId="0" fontId="18" fillId="0" borderId="20" xfId="0" applyNumberFormat="1" applyFont="1" applyFill="1" applyBorder="1" applyAlignment="1">
      <alignment horizontal="left"/>
    </xf>
    <xf numFmtId="165" fontId="6" fillId="0" borderId="20" xfId="0" applyNumberFormat="1" applyFont="1" applyFill="1" applyBorder="1" applyAlignment="1">
      <alignment horizontal="right"/>
    </xf>
    <xf numFmtId="165" fontId="18" fillId="0" borderId="20" xfId="0" applyNumberFormat="1" applyFont="1" applyFill="1" applyBorder="1" applyAlignment="1">
      <alignment horizontal="right"/>
    </xf>
    <xf numFmtId="165" fontId="18" fillId="0" borderId="21" xfId="0" applyNumberFormat="1" applyFont="1" applyFill="1" applyBorder="1" applyAlignment="1">
      <alignment horizontal="right"/>
    </xf>
    <xf numFmtId="49" fontId="18" fillId="0" borderId="22" xfId="0" applyNumberFormat="1" applyFont="1" applyFill="1" applyBorder="1" applyAlignment="1">
      <alignment horizontal="left" vertical="top"/>
    </xf>
    <xf numFmtId="0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NumberFormat="1" applyFont="1" applyFill="1" applyBorder="1" applyAlignment="1">
      <alignment horizontal="left"/>
    </xf>
    <xf numFmtId="165" fontId="6" fillId="0" borderId="23" xfId="0" applyNumberFormat="1" applyFont="1" applyFill="1" applyBorder="1" applyAlignment="1">
      <alignment horizontal="right"/>
    </xf>
    <xf numFmtId="165" fontId="18" fillId="0" borderId="23" xfId="0" applyNumberFormat="1" applyFont="1" applyFill="1" applyBorder="1" applyAlignment="1">
      <alignment horizontal="right"/>
    </xf>
    <xf numFmtId="165" fontId="18" fillId="0" borderId="24" xfId="0" applyNumberFormat="1" applyFont="1" applyFill="1" applyBorder="1" applyAlignment="1">
      <alignment horizontal="right"/>
    </xf>
    <xf numFmtId="0" fontId="19" fillId="0" borderId="0" xfId="0" applyFont="1" applyAlignment="1">
      <alignment horizontal="left" vertical="top"/>
    </xf>
    <xf numFmtId="165" fontId="19" fillId="0" borderId="0" xfId="0" applyNumberFormat="1" applyFont="1" applyAlignment="1">
      <alignment horizontal="right" vertical="top"/>
    </xf>
    <xf numFmtId="9" fontId="2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14" fontId="2" fillId="0" borderId="0" xfId="0" applyNumberFormat="1" applyFont="1"/>
    <xf numFmtId="0" fontId="4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/>
    <xf numFmtId="0" fontId="28" fillId="0" borderId="3" xfId="0" applyFont="1" applyBorder="1" applyAlignment="1">
      <alignment horizontal="center" vertical="top"/>
    </xf>
    <xf numFmtId="0" fontId="28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right"/>
    </xf>
    <xf numFmtId="0" fontId="2" fillId="0" borderId="11" xfId="0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wrapText="1"/>
    </xf>
    <xf numFmtId="49" fontId="2" fillId="0" borderId="32" xfId="0" applyNumberFormat="1" applyFont="1" applyBorder="1" applyAlignment="1">
      <alignment horizontal="center" vertical="center" wrapText="1"/>
    </xf>
    <xf numFmtId="165" fontId="9" fillId="0" borderId="0" xfId="0" applyNumberFormat="1" applyFont="1"/>
    <xf numFmtId="0" fontId="18" fillId="0" borderId="20" xfId="0" applyFont="1" applyBorder="1"/>
    <xf numFmtId="0" fontId="18" fillId="0" borderId="20" xfId="0" applyFont="1" applyBorder="1" applyAlignment="1">
      <alignment vertical="top" wrapText="1"/>
    </xf>
    <xf numFmtId="0" fontId="18" fillId="0" borderId="14" xfId="0" applyFont="1" applyBorder="1"/>
    <xf numFmtId="0" fontId="18" fillId="0" borderId="14" xfId="0" applyFont="1" applyBorder="1" applyAlignment="1">
      <alignment vertical="top" wrapText="1"/>
    </xf>
    <xf numFmtId="0" fontId="18" fillId="0" borderId="23" xfId="0" applyFont="1" applyBorder="1"/>
    <xf numFmtId="0" fontId="18" fillId="0" borderId="23" xfId="0" applyFont="1" applyBorder="1" applyAlignment="1">
      <alignment vertical="top" wrapText="1"/>
    </xf>
    <xf numFmtId="49" fontId="18" fillId="0" borderId="19" xfId="0" applyNumberFormat="1" applyFont="1" applyBorder="1" applyAlignment="1">
      <alignment vertical="top"/>
    </xf>
    <xf numFmtId="49" fontId="18" fillId="0" borderId="20" xfId="0" applyNumberFormat="1" applyFont="1" applyBorder="1" applyAlignment="1">
      <alignment vertical="top"/>
    </xf>
    <xf numFmtId="49" fontId="18" fillId="0" borderId="15" xfId="0" applyNumberFormat="1" applyFont="1" applyBorder="1" applyAlignment="1">
      <alignment vertical="top"/>
    </xf>
    <xf numFmtId="49" fontId="18" fillId="0" borderId="14" xfId="0" applyNumberFormat="1" applyFont="1" applyBorder="1" applyAlignment="1">
      <alignment vertical="top"/>
    </xf>
    <xf numFmtId="49" fontId="18" fillId="0" borderId="22" xfId="0" applyNumberFormat="1" applyFont="1" applyBorder="1" applyAlignment="1">
      <alignment vertical="top"/>
    </xf>
    <xf numFmtId="49" fontId="18" fillId="0" borderId="23" xfId="0" applyNumberFormat="1" applyFont="1" applyBorder="1" applyAlignment="1">
      <alignment vertical="top"/>
    </xf>
    <xf numFmtId="165" fontId="18" fillId="0" borderId="21" xfId="0" applyNumberFormat="1" applyFont="1" applyBorder="1" applyAlignment="1">
      <alignment horizontal="right"/>
    </xf>
    <xf numFmtId="165" fontId="18" fillId="0" borderId="2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6" fillId="0" borderId="14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0" fontId="28" fillId="0" borderId="0" xfId="0" applyFont="1" applyAlignment="1">
      <alignment horizontal="right"/>
    </xf>
    <xf numFmtId="0" fontId="3" fillId="0" borderId="0" xfId="0" applyFont="1" applyAlignment="1"/>
    <xf numFmtId="49" fontId="3" fillId="0" borderId="7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11" xfId="0" applyFont="1" applyBorder="1" applyAlignment="1">
      <alignment horizontal="center"/>
    </xf>
    <xf numFmtId="49" fontId="3" fillId="0" borderId="25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14" fontId="3" fillId="0" borderId="30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49" fontId="3" fillId="0" borderId="40" xfId="0" applyNumberFormat="1" applyFont="1" applyBorder="1" applyAlignment="1">
      <alignment horizontal="center"/>
    </xf>
    <xf numFmtId="49" fontId="3" fillId="0" borderId="41" xfId="0" applyNumberFormat="1" applyFont="1" applyBorder="1" applyAlignment="1">
      <alignment horizontal="center"/>
    </xf>
    <xf numFmtId="14" fontId="3" fillId="0" borderId="41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36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6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14" fontId="3" fillId="0" borderId="26" xfId="0" applyNumberFormat="1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165" fontId="3" fillId="0" borderId="7" xfId="0" applyNumberFormat="1" applyFont="1" applyBorder="1" applyAlignment="1">
      <alignment horizontal="right" wrapText="1"/>
    </xf>
    <xf numFmtId="165" fontId="30" fillId="0" borderId="7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center" vertical="center" wrapText="1"/>
    </xf>
    <xf numFmtId="165" fontId="30" fillId="0" borderId="25" xfId="0" applyNumberFormat="1" applyFont="1" applyBorder="1" applyAlignment="1">
      <alignment horizontal="right" wrapText="1"/>
    </xf>
    <xf numFmtId="0" fontId="3" fillId="0" borderId="27" xfId="0" applyFont="1" applyBorder="1" applyAlignment="1">
      <alignment horizontal="center" vertical="top" wrapText="1"/>
    </xf>
    <xf numFmtId="165" fontId="3" fillId="0" borderId="27" xfId="0" applyNumberFormat="1" applyFont="1" applyBorder="1" applyAlignment="1">
      <alignment horizontal="right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165" fontId="30" fillId="0" borderId="40" xfId="0" applyNumberFormat="1" applyFont="1" applyBorder="1" applyAlignment="1">
      <alignment horizontal="right" wrapText="1"/>
    </xf>
    <xf numFmtId="165" fontId="30" fillId="0" borderId="41" xfId="0" applyNumberFormat="1" applyFont="1" applyBorder="1" applyAlignment="1">
      <alignment horizontal="right" wrapText="1"/>
    </xf>
    <xf numFmtId="0" fontId="3" fillId="0" borderId="41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165" fontId="3" fillId="0" borderId="7" xfId="0" applyNumberFormat="1" applyFont="1" applyBorder="1" applyAlignment="1">
      <alignment horizontal="right"/>
    </xf>
    <xf numFmtId="165" fontId="30" fillId="0" borderId="7" xfId="0" applyNumberFormat="1" applyFont="1" applyBorder="1" applyAlignment="1">
      <alignment horizontal="right"/>
    </xf>
    <xf numFmtId="49" fontId="3" fillId="0" borderId="0" xfId="0" applyNumberFormat="1" applyFont="1"/>
    <xf numFmtId="49" fontId="5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/>
    <xf numFmtId="165" fontId="3" fillId="0" borderId="13" xfId="0" applyNumberFormat="1" applyFont="1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0" fontId="1" fillId="0" borderId="0" xfId="1" applyFont="1"/>
    <xf numFmtId="0" fontId="32" fillId="0" borderId="0" xfId="1" applyFont="1" applyAlignment="1">
      <alignment horizontal="right"/>
    </xf>
    <xf numFmtId="0" fontId="28" fillId="0" borderId="0" xfId="1" applyFont="1" applyAlignment="1">
      <alignment horizontal="right"/>
    </xf>
    <xf numFmtId="0" fontId="24" fillId="0" borderId="0" xfId="1" applyFont="1"/>
    <xf numFmtId="49" fontId="24" fillId="0" borderId="0" xfId="1" applyNumberFormat="1" applyFont="1"/>
    <xf numFmtId="14" fontId="24" fillId="0" borderId="0" xfId="1" applyNumberFormat="1" applyFont="1"/>
    <xf numFmtId="40" fontId="24" fillId="0" borderId="0" xfId="1" applyNumberFormat="1" applyFont="1"/>
    <xf numFmtId="0" fontId="9" fillId="0" borderId="0" xfId="1" applyFont="1"/>
    <xf numFmtId="49" fontId="33" fillId="0" borderId="0" xfId="1" applyNumberFormat="1" applyFont="1"/>
    <xf numFmtId="49" fontId="1" fillId="0" borderId="0" xfId="1" applyNumberFormat="1" applyFont="1"/>
    <xf numFmtId="0" fontId="1" fillId="0" borderId="0" xfId="1" applyFont="1" applyAlignment="1">
      <alignment horizontal="left"/>
    </xf>
    <xf numFmtId="0" fontId="1" fillId="0" borderId="6" xfId="1" applyFont="1" applyBorder="1" applyAlignment="1">
      <alignment horizontal="left" vertical="top"/>
    </xf>
    <xf numFmtId="0" fontId="32" fillId="0" borderId="11" xfId="1" applyFont="1" applyBorder="1" applyAlignment="1">
      <alignment horizontal="center" vertical="center" wrapText="1"/>
    </xf>
    <xf numFmtId="0" fontId="32" fillId="0" borderId="3" xfId="1" applyFont="1" applyBorder="1" applyAlignment="1">
      <alignment horizontal="center" vertical="center" wrapText="1"/>
    </xf>
    <xf numFmtId="0" fontId="32" fillId="0" borderId="8" xfId="1" applyFont="1" applyBorder="1" applyAlignment="1">
      <alignment horizontal="center" vertical="center" wrapText="1"/>
    </xf>
    <xf numFmtId="0" fontId="32" fillId="0" borderId="2" xfId="1" applyFont="1" applyBorder="1" applyAlignment="1">
      <alignment horizontal="center" vertical="center" wrapText="1"/>
    </xf>
    <xf numFmtId="0" fontId="32" fillId="0" borderId="13" xfId="1" applyFont="1" applyBorder="1" applyAlignment="1">
      <alignment horizontal="center" vertical="center" wrapText="1"/>
    </xf>
    <xf numFmtId="0" fontId="32" fillId="0" borderId="6" xfId="1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32" fillId="0" borderId="9" xfId="1" applyFont="1" applyBorder="1" applyAlignment="1">
      <alignment horizontal="center" vertical="center" wrapText="1"/>
    </xf>
    <xf numFmtId="0" fontId="32" fillId="0" borderId="7" xfId="1" applyFont="1" applyBorder="1" applyAlignment="1">
      <alignment horizontal="center" vertical="center"/>
    </xf>
    <xf numFmtId="0" fontId="32" fillId="0" borderId="17" xfId="1" applyFont="1" applyBorder="1" applyAlignment="1">
      <alignment horizontal="center" vertical="center"/>
    </xf>
    <xf numFmtId="0" fontId="32" fillId="0" borderId="18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0" fontId="32" fillId="0" borderId="2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32" fillId="0" borderId="8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top" wrapText="1"/>
    </xf>
    <xf numFmtId="0" fontId="1" fillId="0" borderId="4" xfId="1" applyFont="1" applyBorder="1" applyAlignment="1">
      <alignment horizontal="left" vertical="top" wrapText="1"/>
    </xf>
    <xf numFmtId="0" fontId="1" fillId="0" borderId="17" xfId="1" applyFont="1" applyBorder="1" applyAlignment="1">
      <alignment horizontal="left" vertical="top" wrapText="1"/>
    </xf>
    <xf numFmtId="0" fontId="1" fillId="0" borderId="18" xfId="1" applyFont="1" applyBorder="1" applyAlignment="1">
      <alignment horizontal="left" vertical="top" wrapText="1"/>
    </xf>
    <xf numFmtId="0" fontId="1" fillId="0" borderId="4" xfId="1" quotePrefix="1" applyFont="1" applyBorder="1" applyAlignment="1">
      <alignment horizontal="center" wrapText="1"/>
    </xf>
    <xf numFmtId="0" fontId="1" fillId="0" borderId="17" xfId="1" applyFont="1" applyBorder="1" applyAlignment="1">
      <alignment horizontal="center" wrapText="1"/>
    </xf>
    <xf numFmtId="0" fontId="1" fillId="0" borderId="18" xfId="1" applyFont="1" applyBorder="1" applyAlignment="1">
      <alignment horizontal="center" wrapText="1"/>
    </xf>
    <xf numFmtId="0" fontId="1" fillId="0" borderId="4" xfId="1" applyFont="1" applyBorder="1" applyAlignment="1">
      <alignment horizontal="center" wrapText="1"/>
    </xf>
    <xf numFmtId="40" fontId="1" fillId="0" borderId="4" xfId="1" applyNumberFormat="1" applyFont="1" applyBorder="1" applyAlignment="1">
      <alignment horizontal="center" wrapText="1"/>
    </xf>
    <xf numFmtId="40" fontId="1" fillId="0" borderId="17" xfId="1" applyNumberFormat="1" applyFont="1" applyBorder="1" applyAlignment="1">
      <alignment horizontal="center" wrapText="1"/>
    </xf>
    <xf numFmtId="167" fontId="1" fillId="0" borderId="4" xfId="1" applyNumberFormat="1" applyFont="1" applyBorder="1" applyAlignment="1">
      <alignment horizontal="right" wrapText="1"/>
    </xf>
    <xf numFmtId="167" fontId="1" fillId="0" borderId="17" xfId="1" applyNumberFormat="1" applyFont="1" applyBorder="1" applyAlignment="1">
      <alignment horizontal="right" wrapText="1"/>
    </xf>
    <xf numFmtId="0" fontId="32" fillId="0" borderId="4" xfId="1" applyFont="1" applyBorder="1" applyAlignment="1">
      <alignment horizontal="center" wrapText="1"/>
    </xf>
    <xf numFmtId="9" fontId="1" fillId="0" borderId="4" xfId="1" applyNumberFormat="1" applyFont="1" applyBorder="1" applyAlignment="1">
      <alignment horizontal="center" wrapText="1"/>
    </xf>
    <xf numFmtId="167" fontId="1" fillId="0" borderId="18" xfId="1" applyNumberFormat="1" applyFont="1" applyBorder="1" applyAlignment="1">
      <alignment horizontal="right" wrapText="1"/>
    </xf>
    <xf numFmtId="0" fontId="24" fillId="0" borderId="0" xfId="1" applyFont="1" applyAlignment="1">
      <alignment wrapText="1"/>
    </xf>
    <xf numFmtId="0" fontId="1" fillId="0" borderId="4" xfId="1" applyFont="1" applyBorder="1"/>
    <xf numFmtId="0" fontId="1" fillId="0" borderId="17" xfId="1" applyFont="1" applyBorder="1"/>
    <xf numFmtId="40" fontId="1" fillId="0" borderId="4" xfId="1" applyNumberFormat="1" applyFont="1" applyBorder="1" applyAlignment="1">
      <alignment horizontal="right"/>
    </xf>
    <xf numFmtId="40" fontId="1" fillId="0" borderId="17" xfId="1" applyNumberFormat="1" applyFont="1" applyBorder="1" applyAlignment="1">
      <alignment horizontal="right"/>
    </xf>
    <xf numFmtId="49" fontId="1" fillId="0" borderId="4" xfId="1" applyNumberFormat="1" applyFont="1" applyBorder="1" applyAlignment="1">
      <alignment horizontal="center"/>
    </xf>
    <xf numFmtId="49" fontId="1" fillId="0" borderId="17" xfId="1" applyNumberFormat="1" applyFont="1" applyBorder="1" applyAlignment="1">
      <alignment horizontal="center"/>
    </xf>
    <xf numFmtId="40" fontId="1" fillId="0" borderId="18" xfId="1" applyNumberFormat="1" applyFont="1" applyBorder="1" applyAlignment="1">
      <alignment horizontal="right"/>
    </xf>
    <xf numFmtId="0" fontId="3" fillId="0" borderId="0" xfId="1" applyFont="1"/>
    <xf numFmtId="0" fontId="3" fillId="0" borderId="6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top" wrapText="1"/>
    </xf>
    <xf numFmtId="0" fontId="32" fillId="0" borderId="0" xfId="1" applyFont="1" applyAlignment="1">
      <alignment horizontal="center" vertical="top" wrapText="1"/>
    </xf>
    <xf numFmtId="0" fontId="32" fillId="0" borderId="0" xfId="1" applyFont="1" applyAlignment="1">
      <alignment horizontal="center" vertical="top" wrapText="1"/>
    </xf>
    <xf numFmtId="165" fontId="1" fillId="0" borderId="4" xfId="1" applyNumberFormat="1" applyFont="1" applyBorder="1" applyAlignment="1">
      <alignment horizontal="right" wrapText="1"/>
    </xf>
    <xf numFmtId="0" fontId="34" fillId="0" borderId="0" xfId="0" applyFont="1"/>
    <xf numFmtId="49" fontId="34" fillId="0" borderId="0" xfId="0" applyNumberFormat="1" applyFont="1"/>
    <xf numFmtId="0" fontId="35" fillId="0" borderId="0" xfId="0" applyFont="1"/>
    <xf numFmtId="0" fontId="35" fillId="0" borderId="0" xfId="0" applyFont="1" applyAlignment="1"/>
    <xf numFmtId="0" fontId="37" fillId="0" borderId="0" xfId="0" applyFont="1" applyAlignment="1"/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 applyBorder="1" applyAlignment="1">
      <alignment horizontal="left" vertical="top" wrapText="1"/>
    </xf>
    <xf numFmtId="0" fontId="35" fillId="0" borderId="6" xfId="0" applyFont="1" applyBorder="1" applyAlignment="1">
      <alignment horizontal="left"/>
    </xf>
    <xf numFmtId="0" fontId="35" fillId="0" borderId="0" xfId="0" applyFont="1" applyBorder="1" applyAlignment="1">
      <alignment horizontal="left" vertical="top"/>
    </xf>
    <xf numFmtId="0" fontId="35" fillId="0" borderId="6" xfId="0" applyFont="1" applyBorder="1" applyAlignment="1">
      <alignment horizontal="left" vertical="top"/>
    </xf>
    <xf numFmtId="49" fontId="35" fillId="0" borderId="0" xfId="0" applyNumberFormat="1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43" xfId="0" applyFont="1" applyBorder="1" applyAlignment="1">
      <alignment horizontal="left" vertical="top" wrapText="1"/>
    </xf>
    <xf numFmtId="0" fontId="35" fillId="0" borderId="43" xfId="0" applyFont="1" applyBorder="1" applyAlignment="1">
      <alignment horizontal="left" vertical="top"/>
    </xf>
    <xf numFmtId="49" fontId="35" fillId="0" borderId="43" xfId="0" applyNumberFormat="1" applyFont="1" applyBorder="1" applyAlignment="1">
      <alignment horizontal="left"/>
    </xf>
    <xf numFmtId="0" fontId="35" fillId="0" borderId="43" xfId="0" applyFont="1" applyBorder="1" applyAlignment="1">
      <alignment horizontal="left"/>
    </xf>
    <xf numFmtId="0" fontId="35" fillId="0" borderId="44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left"/>
    </xf>
    <xf numFmtId="0" fontId="35" fillId="0" borderId="44" xfId="0" applyFont="1" applyBorder="1" applyAlignment="1">
      <alignment horizontal="left"/>
    </xf>
    <xf numFmtId="0" fontId="35" fillId="0" borderId="5" xfId="0" applyFont="1" applyBorder="1" applyAlignment="1">
      <alignment horizontal="left"/>
    </xf>
    <xf numFmtId="0" fontId="35" fillId="0" borderId="44" xfId="0" applyFont="1" applyBorder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0" fontId="35" fillId="0" borderId="5" xfId="0" applyFont="1" applyBorder="1" applyAlignment="1">
      <alignment horizontal="left" vertical="top"/>
    </xf>
    <xf numFmtId="49" fontId="35" fillId="0" borderId="44" xfId="0" applyNumberFormat="1" applyFont="1" applyBorder="1" applyAlignment="1">
      <alignment horizontal="left"/>
    </xf>
    <xf numFmtId="49" fontId="35" fillId="0" borderId="1" xfId="0" applyNumberFormat="1" applyFont="1" applyBorder="1" applyAlignment="1">
      <alignment horizontal="left" vertical="top"/>
    </xf>
    <xf numFmtId="49" fontId="35" fillId="0" borderId="44" xfId="0" applyNumberFormat="1" applyFont="1" applyBorder="1" applyAlignment="1">
      <alignment horizontal="left" vertical="top"/>
    </xf>
    <xf numFmtId="0" fontId="35" fillId="0" borderId="45" xfId="0" applyFont="1" applyBorder="1" applyAlignment="1">
      <alignment horizontal="left"/>
    </xf>
    <xf numFmtId="0" fontId="35" fillId="0" borderId="9" xfId="0" applyFont="1" applyBorder="1" applyAlignment="1">
      <alignment horizontal="left" vertical="top"/>
    </xf>
    <xf numFmtId="0" fontId="35" fillId="0" borderId="45" xfId="0" applyFont="1" applyBorder="1" applyAlignment="1">
      <alignment horizontal="left" vertical="top"/>
    </xf>
    <xf numFmtId="0" fontId="35" fillId="0" borderId="10" xfId="0" applyFont="1" applyBorder="1" applyAlignment="1">
      <alignment horizontal="left" vertical="top"/>
    </xf>
    <xf numFmtId="0" fontId="38" fillId="0" borderId="0" xfId="0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top"/>
    </xf>
    <xf numFmtId="0" fontId="35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right"/>
    </xf>
    <xf numFmtId="0" fontId="35" fillId="0" borderId="7" xfId="0" applyFont="1" applyBorder="1" applyAlignment="1">
      <alignment horizontal="left" wrapText="1"/>
    </xf>
    <xf numFmtId="165" fontId="35" fillId="0" borderId="7" xfId="0" applyNumberFormat="1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7" xfId="0" applyFont="1" applyBorder="1" applyAlignment="1">
      <alignment horizontal="right"/>
    </xf>
    <xf numFmtId="0" fontId="35" fillId="0" borderId="18" xfId="0" applyFont="1" applyBorder="1" applyAlignment="1">
      <alignment horizontal="right"/>
    </xf>
    <xf numFmtId="165" fontId="35" fillId="0" borderId="4" xfId="0" applyNumberFormat="1" applyFont="1" applyBorder="1" applyAlignment="1">
      <alignment horizontal="right"/>
    </xf>
    <xf numFmtId="49" fontId="35" fillId="0" borderId="4" xfId="0" applyNumberFormat="1" applyFont="1" applyBorder="1" applyAlignment="1">
      <alignment horizontal="right"/>
    </xf>
    <xf numFmtId="0" fontId="36" fillId="0" borderId="0" xfId="0" applyFont="1" applyAlignment="1">
      <alignment horizontal="left" vertical="center" wrapText="1"/>
    </xf>
    <xf numFmtId="0" fontId="36" fillId="0" borderId="0" xfId="0" applyFont="1"/>
    <xf numFmtId="0" fontId="39" fillId="0" borderId="0" xfId="0" applyFont="1" applyAlignment="1">
      <alignment horizontal="center" vertical="center" wrapText="1"/>
    </xf>
    <xf numFmtId="0" fontId="34" fillId="0" borderId="0" xfId="0" applyFont="1" applyAlignment="1">
      <alignment wrapText="1"/>
    </xf>
    <xf numFmtId="0" fontId="39" fillId="0" borderId="0" xfId="0" applyFont="1" applyAlignment="1">
      <alignment horizontal="left" vertical="center" wrapText="1"/>
    </xf>
    <xf numFmtId="165" fontId="34" fillId="0" borderId="0" xfId="0" applyNumberFormat="1" applyFont="1"/>
    <xf numFmtId="0" fontId="9" fillId="0" borderId="46" xfId="0" applyFont="1" applyBorder="1" applyAlignment="1">
      <alignment vertical="center"/>
    </xf>
    <xf numFmtId="0" fontId="2" fillId="0" borderId="46" xfId="0" applyFont="1" applyBorder="1" applyAlignment="1">
      <alignment horizontal="right" vertical="center"/>
    </xf>
    <xf numFmtId="0" fontId="2" fillId="0" borderId="46" xfId="0" applyFont="1" applyBorder="1" applyAlignment="1">
      <alignment vertical="center" wrapText="1"/>
    </xf>
    <xf numFmtId="0" fontId="2" fillId="0" borderId="46" xfId="0" applyFont="1" applyBorder="1"/>
    <xf numFmtId="0" fontId="40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1" fillId="0" borderId="0" xfId="0" applyFont="1" applyAlignment="1">
      <alignment horizontal="right" vertical="center" wrapText="1"/>
    </xf>
    <xf numFmtId="0" fontId="4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14" fontId="40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40" fillId="0" borderId="0" xfId="0" applyNumberFormat="1" applyFont="1"/>
    <xf numFmtId="168" fontId="2" fillId="0" borderId="0" xfId="0" applyNumberFormat="1" applyFont="1" applyAlignment="1">
      <alignment horizontal="left" wrapText="1"/>
    </xf>
    <xf numFmtId="0" fontId="2" fillId="5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/>
    </xf>
    <xf numFmtId="167" fontId="2" fillId="0" borderId="20" xfId="0" applyNumberFormat="1" applyFont="1" applyBorder="1" applyAlignment="1">
      <alignment horizontal="right"/>
    </xf>
    <xf numFmtId="167" fontId="2" fillId="0" borderId="21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 vertical="top"/>
    </xf>
    <xf numFmtId="167" fontId="2" fillId="0" borderId="14" xfId="0" applyNumberFormat="1" applyFont="1" applyBorder="1" applyAlignment="1">
      <alignment horizontal="right"/>
    </xf>
    <xf numFmtId="167" fontId="2" fillId="0" borderId="16" xfId="0" applyNumberFormat="1" applyFont="1" applyBorder="1" applyAlignment="1">
      <alignment horizontal="right"/>
    </xf>
    <xf numFmtId="0" fontId="2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 wrapText="1"/>
    </xf>
    <xf numFmtId="0" fontId="2" fillId="0" borderId="23" xfId="0" applyFont="1" applyBorder="1"/>
    <xf numFmtId="167" fontId="2" fillId="0" borderId="23" xfId="0" applyNumberFormat="1" applyFont="1" applyBorder="1" applyAlignment="1">
      <alignment horizontal="right"/>
    </xf>
    <xf numFmtId="167" fontId="2" fillId="0" borderId="24" xfId="0" applyNumberFormat="1" applyFont="1" applyBorder="1" applyAlignment="1">
      <alignment horizontal="right"/>
    </xf>
    <xf numFmtId="167" fontId="2" fillId="0" borderId="0" xfId="0" applyNumberFormat="1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2">
    <cellStyle name="Обычный" xfId="0" builtinId="0"/>
    <cellStyle name="Обычный 2" xfId="1" xr:uid="{C31AEAB9-1A5A-43E2-8BDC-9622ED811F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9D4D-73AC-45CA-82F4-28FFD193C586}">
  <sheetPr>
    <tabColor rgb="FFBC0000"/>
    <pageSetUpPr fitToPage="1"/>
  </sheetPr>
  <dimension ref="A1:HZ45"/>
  <sheetViews>
    <sheetView showGridLines="0" zoomScaleNormal="100" workbookViewId="0">
      <pane xSplit="10" ySplit="7" topLeftCell="K8" activePane="bottomRight" state="frozenSplit"/>
      <selection pane="topRight" activeCell="K1" sqref="K1"/>
      <selection pane="bottomLeft" activeCell="A8" sqref="A8"/>
      <selection pane="bottomRight"/>
    </sheetView>
  </sheetViews>
  <sheetFormatPr defaultRowHeight="15.75" x14ac:dyDescent="0.25"/>
  <cols>
    <col min="1" max="1" width="5.85546875" style="1" customWidth="1"/>
    <col min="2" max="2" width="59.140625" style="1" customWidth="1"/>
    <col min="3" max="3" width="8.28515625" style="1" customWidth="1"/>
    <col min="4" max="4" width="11.28515625" style="1" customWidth="1"/>
    <col min="5" max="5" width="15.7109375" style="1" customWidth="1"/>
    <col min="6" max="6" width="16.7109375" style="1" customWidth="1"/>
    <col min="7" max="7" width="4.140625" style="1" customWidth="1"/>
    <col min="8" max="8" width="12.28515625" style="1" customWidth="1"/>
    <col min="9" max="10" width="16.7109375" style="1" customWidth="1"/>
    <col min="11" max="11" width="4.7109375" style="1" customWidth="1"/>
    <col min="12" max="15" width="32.7109375" style="1" customWidth="1"/>
    <col min="16" max="18" width="9.140625" style="3"/>
    <col min="19" max="20" width="12.7109375" style="3" customWidth="1"/>
    <col min="21" max="21" width="6.7109375" style="3" customWidth="1"/>
    <col min="22" max="22" width="0" style="3" hidden="1" customWidth="1"/>
    <col min="23" max="25" width="12.7109375" style="3" customWidth="1"/>
    <col min="26" max="234" width="9.140625" style="3"/>
    <col min="235" max="16384" width="9.140625" style="1"/>
  </cols>
  <sheetData>
    <row r="1" spans="1:234" x14ac:dyDescent="0.25">
      <c r="A1" s="8">
        <v>1.8</v>
      </c>
      <c r="B1" s="9" t="s">
        <v>3</v>
      </c>
      <c r="C1" s="10" t="s">
        <v>33</v>
      </c>
      <c r="D1" s="10"/>
      <c r="E1" s="11">
        <f>ItogoWork</f>
        <v>28.64</v>
      </c>
      <c r="F1" s="12"/>
      <c r="G1" s="13" t="s">
        <v>4</v>
      </c>
      <c r="H1" s="13"/>
      <c r="I1" s="14" t="s">
        <v>5</v>
      </c>
      <c r="J1" s="14" t="s">
        <v>6</v>
      </c>
      <c r="P1" s="3" t="s">
        <v>7</v>
      </c>
      <c r="Q1" s="3" t="str">
        <f>DefName</f>
        <v>Ремонтно отделочные работы</v>
      </c>
      <c r="GR1" s="3" t="s">
        <v>0</v>
      </c>
      <c r="GS1" s="37" t="s">
        <v>2</v>
      </c>
      <c r="GV1" s="3">
        <v>1</v>
      </c>
      <c r="GW1" s="3" t="s">
        <v>39</v>
      </c>
    </row>
    <row r="2" spans="1:234" x14ac:dyDescent="0.25">
      <c r="A2" s="8">
        <v>1.04</v>
      </c>
      <c r="B2" s="9" t="s">
        <v>8</v>
      </c>
      <c r="C2" s="10" t="s">
        <v>34</v>
      </c>
      <c r="D2" s="10"/>
      <c r="E2" s="11">
        <f>ItogoMassaMater</f>
        <v>0</v>
      </c>
      <c r="F2" s="15" t="s">
        <v>9</v>
      </c>
      <c r="G2" s="80">
        <f>ItogoStoimostRabot</f>
        <v>82848.600000000006</v>
      </c>
      <c r="H2" s="81"/>
      <c r="I2" s="17">
        <f>ItogoStoimostMaterialov</f>
        <v>0</v>
      </c>
      <c r="J2" s="18">
        <f>VsegoPoSmete</f>
        <v>82848.600000000006</v>
      </c>
      <c r="P2" s="3" t="s">
        <v>10</v>
      </c>
    </row>
    <row r="3" spans="1:234" x14ac:dyDescent="0.25">
      <c r="A3" s="19">
        <v>0</v>
      </c>
      <c r="B3" s="9" t="s">
        <v>11</v>
      </c>
      <c r="C3" s="10" t="s">
        <v>35</v>
      </c>
      <c r="D3" s="10"/>
      <c r="E3" s="11">
        <f>ItogoMassaMusora</f>
        <v>2.9699999999999998</v>
      </c>
      <c r="F3" s="15" t="s">
        <v>12</v>
      </c>
      <c r="G3" s="82">
        <f>ItogoPlanStoimostRabot</f>
        <v>46027</v>
      </c>
      <c r="H3" s="83"/>
      <c r="I3" s="20">
        <f>ItogoPlanStoimostMater</f>
        <v>0</v>
      </c>
      <c r="J3" s="21">
        <f>ItogoPoDefektovke</f>
        <v>48328.35</v>
      </c>
      <c r="P3" s="3" t="s">
        <v>10</v>
      </c>
      <c r="GR3" s="3" t="s">
        <v>1</v>
      </c>
    </row>
    <row r="4" spans="1:234" x14ac:dyDescent="0.25">
      <c r="A4" s="22">
        <v>0</v>
      </c>
      <c r="B4" s="9" t="s">
        <v>13</v>
      </c>
      <c r="C4" s="23" t="s">
        <v>36</v>
      </c>
      <c r="D4" s="23"/>
      <c r="E4" s="24" t="s">
        <v>37</v>
      </c>
      <c r="F4" s="15" t="s">
        <v>14</v>
      </c>
      <c r="G4" s="16"/>
      <c r="H4" s="16"/>
      <c r="I4" s="25">
        <f>IF(SmStoimost=0,0,_xlfn.SINGLE(УЧП)/SmStoimost)</f>
        <v>0.41666666666666663</v>
      </c>
      <c r="J4" s="26">
        <f>ROUND(SmStoimost-PlanStoimost-SmStoimost*ЛНИ-(SmStoimost-PlanStMater)*ВНС,2)</f>
        <v>34520.25</v>
      </c>
      <c r="P4" s="3" t="s">
        <v>10</v>
      </c>
      <c r="GR4" s="3">
        <v>1</v>
      </c>
    </row>
    <row r="5" spans="1:234" ht="20.25" x14ac:dyDescent="0.25">
      <c r="A5" s="27" t="s">
        <v>38</v>
      </c>
      <c r="B5" s="27"/>
      <c r="C5" s="27"/>
      <c r="D5" s="27"/>
      <c r="E5" s="27"/>
      <c r="F5" s="27"/>
      <c r="G5" s="28"/>
      <c r="H5" s="29"/>
      <c r="I5" s="30" t="s">
        <v>15</v>
      </c>
      <c r="J5" s="30"/>
      <c r="P5" s="3" t="s">
        <v>16</v>
      </c>
      <c r="S5" s="35" t="s">
        <v>17</v>
      </c>
      <c r="T5" s="35" t="s">
        <v>18</v>
      </c>
      <c r="U5" s="35" t="s">
        <v>19</v>
      </c>
      <c r="V5" s="35"/>
      <c r="W5" s="35" t="s">
        <v>20</v>
      </c>
      <c r="X5" s="35" t="s">
        <v>21</v>
      </c>
      <c r="Y5" s="35" t="s">
        <v>22</v>
      </c>
    </row>
    <row r="6" spans="1:234" ht="31.5" x14ac:dyDescent="0.25">
      <c r="A6" s="31" t="s">
        <v>23</v>
      </c>
      <c r="B6" s="31" t="s">
        <v>24</v>
      </c>
      <c r="C6" s="31" t="s">
        <v>25</v>
      </c>
      <c r="D6" s="31" t="s">
        <v>26</v>
      </c>
      <c r="E6" s="31" t="s">
        <v>27</v>
      </c>
      <c r="F6" s="31" t="s">
        <v>28</v>
      </c>
      <c r="G6" s="30"/>
      <c r="H6" s="32" t="s">
        <v>29</v>
      </c>
      <c r="I6" s="32" t="s">
        <v>30</v>
      </c>
      <c r="J6" s="32" t="s">
        <v>31</v>
      </c>
      <c r="P6" s="3" t="s">
        <v>32</v>
      </c>
      <c r="S6" s="35"/>
      <c r="T6" s="35"/>
      <c r="U6" s="35"/>
      <c r="V6" s="35"/>
      <c r="W6" s="35"/>
      <c r="X6" s="35"/>
      <c r="Y6" s="35"/>
    </row>
    <row r="7" spans="1:234" s="2" customFormat="1" ht="12.75" x14ac:dyDescent="0.2">
      <c r="A7" s="33">
        <v>1</v>
      </c>
      <c r="B7" s="33">
        <v>2</v>
      </c>
      <c r="C7" s="33">
        <v>3</v>
      </c>
      <c r="D7" s="33">
        <v>4</v>
      </c>
      <c r="E7" s="33">
        <v>5</v>
      </c>
      <c r="F7" s="33">
        <v>6</v>
      </c>
      <c r="G7" s="39"/>
      <c r="H7" s="34"/>
      <c r="I7" s="34">
        <v>5</v>
      </c>
      <c r="J7" s="38">
        <v>6</v>
      </c>
      <c r="P7" s="4" t="s">
        <v>32</v>
      </c>
      <c r="Q7" s="4"/>
      <c r="R7" s="4"/>
      <c r="S7" s="36">
        <v>7</v>
      </c>
      <c r="T7" s="36">
        <v>8</v>
      </c>
      <c r="U7" s="36">
        <v>9</v>
      </c>
      <c r="V7" s="36"/>
      <c r="W7" s="36">
        <v>10</v>
      </c>
      <c r="X7" s="36">
        <v>11</v>
      </c>
      <c r="Y7" s="36">
        <v>12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</row>
    <row r="8" spans="1:234" x14ac:dyDescent="0.25">
      <c r="A8" s="40"/>
      <c r="B8" s="40"/>
      <c r="C8" s="40"/>
      <c r="D8" s="40"/>
      <c r="E8" s="40"/>
      <c r="F8" s="40"/>
      <c r="G8" s="7"/>
      <c r="H8" s="40"/>
      <c r="I8" s="40"/>
      <c r="J8" s="41"/>
      <c r="L8" s="42"/>
      <c r="P8" s="3" t="s">
        <v>40</v>
      </c>
    </row>
    <row r="9" spans="1:234" x14ac:dyDescent="0.25">
      <c r="A9" s="46">
        <v>1</v>
      </c>
      <c r="B9" s="47" t="s">
        <v>42</v>
      </c>
      <c r="C9" s="48"/>
      <c r="D9" s="48"/>
      <c r="E9" s="48"/>
      <c r="F9" s="48"/>
      <c r="G9" s="45"/>
      <c r="H9" s="48"/>
      <c r="I9" s="48"/>
      <c r="J9" s="48"/>
      <c r="L9" s="42"/>
      <c r="P9" s="3" t="s">
        <v>41</v>
      </c>
      <c r="S9" s="44"/>
      <c r="T9" s="44"/>
      <c r="U9" s="44"/>
      <c r="V9" s="44"/>
      <c r="W9" s="44"/>
      <c r="X9" s="44"/>
      <c r="Y9" s="44"/>
    </row>
    <row r="10" spans="1:234" hidden="1" x14ac:dyDescent="0.25">
      <c r="P10" s="3" t="s">
        <v>43</v>
      </c>
    </row>
    <row r="11" spans="1:234" ht="31.5" x14ac:dyDescent="0.25">
      <c r="A11" s="53">
        <v>1</v>
      </c>
      <c r="B11" s="54" t="s">
        <v>45</v>
      </c>
      <c r="C11" s="55" t="s">
        <v>46</v>
      </c>
      <c r="D11" s="58">
        <v>79</v>
      </c>
      <c r="E11" s="58">
        <v>33</v>
      </c>
      <c r="F11" s="57">
        <f>ROUND(E11*ROUND(D11,2),2)</f>
        <v>2607</v>
      </c>
      <c r="G11" s="51" t="s">
        <v>47</v>
      </c>
      <c r="H11" s="59">
        <f>KoeffForPrice</f>
        <v>1.8</v>
      </c>
      <c r="I11" s="56">
        <f>ROUND(E11*H11,2)</f>
        <v>59.4</v>
      </c>
      <c r="J11" s="57">
        <f>ROUND(I11*ROUND(D11,2),2)</f>
        <v>4692.6000000000004</v>
      </c>
      <c r="L11" s="42"/>
      <c r="P11" s="3" t="s">
        <v>44</v>
      </c>
      <c r="Q11" s="3" t="s">
        <v>48</v>
      </c>
      <c r="S11" s="60">
        <v>0.20000000298023224</v>
      </c>
      <c r="T11" s="61">
        <v>2.7000000700354576E-2</v>
      </c>
      <c r="U11" s="62">
        <v>3</v>
      </c>
      <c r="V11" s="56"/>
      <c r="W11" s="56">
        <f>ROUND(D11*S11,2)</f>
        <v>15.8</v>
      </c>
      <c r="X11" s="56">
        <f>ROUND(D11*T11,2)</f>
        <v>2.13</v>
      </c>
      <c r="Y11" s="57"/>
    </row>
    <row r="12" spans="1:234" x14ac:dyDescent="0.25">
      <c r="A12" s="53">
        <v>2</v>
      </c>
      <c r="B12" s="54" t="s">
        <v>49</v>
      </c>
      <c r="C12" s="55" t="s">
        <v>46</v>
      </c>
      <c r="D12" s="58">
        <v>79</v>
      </c>
      <c r="E12" s="58">
        <v>40</v>
      </c>
      <c r="F12" s="57">
        <f>ROUND(E12*ROUND(D12,2),2)</f>
        <v>3160</v>
      </c>
      <c r="G12" s="51" t="s">
        <v>47</v>
      </c>
      <c r="H12" s="59">
        <f>KoeffForPrice</f>
        <v>1.8</v>
      </c>
      <c r="I12" s="56">
        <f>ROUND(E12*H12,2)</f>
        <v>72</v>
      </c>
      <c r="J12" s="57">
        <f>ROUND(I12*ROUND(D12,2),2)</f>
        <v>5688</v>
      </c>
      <c r="L12" s="42"/>
      <c r="P12" s="3" t="s">
        <v>44</v>
      </c>
      <c r="Q12" s="3" t="s">
        <v>50</v>
      </c>
      <c r="S12" s="60">
        <v>0.15999999642372131</v>
      </c>
      <c r="T12" s="61">
        <v>1.6999999934341758E-4</v>
      </c>
      <c r="U12" s="62">
        <v>3</v>
      </c>
      <c r="V12" s="56"/>
      <c r="W12" s="56">
        <f>ROUND(D12*S12,2)</f>
        <v>12.64</v>
      </c>
      <c r="X12" s="56">
        <f>ROUND(D12*T12,2)</f>
        <v>0.01</v>
      </c>
      <c r="Y12" s="57"/>
    </row>
    <row r="13" spans="1:234" x14ac:dyDescent="0.25">
      <c r="A13" s="53">
        <v>3</v>
      </c>
      <c r="B13" s="54" t="s">
        <v>51</v>
      </c>
      <c r="C13" s="55" t="s">
        <v>52</v>
      </c>
      <c r="D13" s="58">
        <v>70</v>
      </c>
      <c r="E13" s="58">
        <v>30</v>
      </c>
      <c r="F13" s="57">
        <f>ROUND(E13*ROUND(D13,2),2)</f>
        <v>2100</v>
      </c>
      <c r="G13" s="51" t="s">
        <v>47</v>
      </c>
      <c r="H13" s="59">
        <f>KoeffForPrice</f>
        <v>1.8</v>
      </c>
      <c r="I13" s="56">
        <f>ROUND(E13*H13,2)</f>
        <v>54</v>
      </c>
      <c r="J13" s="57">
        <f>ROUND(I13*ROUND(D13,2),2)</f>
        <v>3780</v>
      </c>
      <c r="L13" s="42"/>
      <c r="P13" s="3" t="s">
        <v>44</v>
      </c>
      <c r="Q13" s="3" t="s">
        <v>53</v>
      </c>
      <c r="R13" s="3" t="s">
        <v>54</v>
      </c>
      <c r="S13" s="60">
        <v>0</v>
      </c>
      <c r="T13" s="61">
        <v>5.0000002374872565E-4</v>
      </c>
      <c r="U13" s="62"/>
      <c r="V13" s="56"/>
      <c r="W13" s="56">
        <f>ROUND(D13*S13,2)</f>
        <v>0</v>
      </c>
      <c r="X13" s="56">
        <f>ROUND(D13*T13,2)</f>
        <v>0.04</v>
      </c>
      <c r="Y13" s="57"/>
    </row>
    <row r="14" spans="1:234" ht="47.25" x14ac:dyDescent="0.25">
      <c r="A14" s="53">
        <v>4</v>
      </c>
      <c r="B14" s="54" t="s">
        <v>55</v>
      </c>
      <c r="C14" s="55" t="s">
        <v>46</v>
      </c>
      <c r="D14" s="58">
        <v>79</v>
      </c>
      <c r="E14" s="58">
        <v>220</v>
      </c>
      <c r="F14" s="57">
        <f>ROUND(E14*ROUND(D14,2),2)</f>
        <v>17380</v>
      </c>
      <c r="G14" s="51" t="s">
        <v>47</v>
      </c>
      <c r="H14" s="59">
        <f>KoeffForPrice</f>
        <v>1.8</v>
      </c>
      <c r="I14" s="56">
        <f>ROUND(E14*H14,2)</f>
        <v>396</v>
      </c>
      <c r="J14" s="57">
        <f>ROUND(I14*ROUND(D14,2),2)</f>
        <v>31284</v>
      </c>
      <c r="L14" s="42"/>
      <c r="P14" s="3" t="s">
        <v>44</v>
      </c>
      <c r="Q14" s="3" t="s">
        <v>56</v>
      </c>
      <c r="R14" s="3" t="s">
        <v>54</v>
      </c>
      <c r="S14" s="60">
        <v>0</v>
      </c>
      <c r="T14" s="61">
        <v>9.9999997764825821E-3</v>
      </c>
      <c r="U14" s="62"/>
      <c r="V14" s="56"/>
      <c r="W14" s="56">
        <f>ROUND(D14*S14,2)</f>
        <v>0</v>
      </c>
      <c r="X14" s="56">
        <f>ROUND(D14*T14,2)</f>
        <v>0.79</v>
      </c>
      <c r="Y14" s="57"/>
    </row>
    <row r="15" spans="1:234" x14ac:dyDescent="0.25">
      <c r="A15" s="53">
        <v>5</v>
      </c>
      <c r="B15" s="54" t="s">
        <v>57</v>
      </c>
      <c r="C15" s="55" t="s">
        <v>58</v>
      </c>
      <c r="D15" s="58">
        <v>1</v>
      </c>
      <c r="E15" s="58">
        <v>1500</v>
      </c>
      <c r="F15" s="57">
        <f>ROUND(E15*ROUND(D15,2),2)</f>
        <v>1500</v>
      </c>
      <c r="G15" s="51" t="s">
        <v>47</v>
      </c>
      <c r="H15" s="59">
        <f>KoeffForPrice</f>
        <v>1.8</v>
      </c>
      <c r="I15" s="56">
        <f>ROUND(E15*H15,2)</f>
        <v>2700</v>
      </c>
      <c r="J15" s="57">
        <f>ROUND(I15*ROUND(D15,2),2)</f>
        <v>2700</v>
      </c>
      <c r="L15" s="42"/>
      <c r="P15" s="3" t="s">
        <v>44</v>
      </c>
      <c r="Q15" s="3" t="s">
        <v>59</v>
      </c>
      <c r="S15" s="60">
        <v>0.20000000298023224</v>
      </c>
      <c r="T15" s="61">
        <v>0</v>
      </c>
      <c r="U15" s="62">
        <v>4</v>
      </c>
      <c r="V15" s="56"/>
      <c r="W15" s="56">
        <f>ROUND(D15*S15,2)</f>
        <v>0.2</v>
      </c>
      <c r="X15" s="56">
        <f>ROUND(D15*T15,2)</f>
        <v>0</v>
      </c>
      <c r="Y15" s="57"/>
    </row>
    <row r="16" spans="1:234" x14ac:dyDescent="0.25">
      <c r="A16" s="53">
        <v>6</v>
      </c>
      <c r="B16" s="54" t="s">
        <v>60</v>
      </c>
      <c r="C16" s="55" t="s">
        <v>46</v>
      </c>
      <c r="D16" s="58">
        <v>79</v>
      </c>
      <c r="E16" s="58">
        <v>170</v>
      </c>
      <c r="F16" s="57">
        <f>ROUND(E16*ROUND(D16,2),2)</f>
        <v>13430</v>
      </c>
      <c r="G16" s="51" t="s">
        <v>47</v>
      </c>
      <c r="H16" s="59">
        <f>KoeffForPrice</f>
        <v>1.8</v>
      </c>
      <c r="I16" s="56">
        <f>ROUND(E16*H16,2)</f>
        <v>306</v>
      </c>
      <c r="J16" s="57">
        <f>ROUND(I16*ROUND(D16,2),2)</f>
        <v>24174</v>
      </c>
      <c r="L16" s="42"/>
      <c r="P16" s="3" t="s">
        <v>44</v>
      </c>
      <c r="S16" s="60">
        <v>0</v>
      </c>
      <c r="T16" s="61">
        <v>0</v>
      </c>
      <c r="U16" s="62"/>
      <c r="V16" s="56"/>
      <c r="W16" s="56">
        <f>ROUND(D16*S16,2)</f>
        <v>0</v>
      </c>
      <c r="X16" s="56">
        <f>ROUND(D16*T16,2)</f>
        <v>0</v>
      </c>
      <c r="Y16" s="57"/>
    </row>
    <row r="17" spans="1:25" hidden="1" x14ac:dyDescent="0.25">
      <c r="P17" s="3" t="s">
        <v>61</v>
      </c>
    </row>
    <row r="18" spans="1:25" x14ac:dyDescent="0.25">
      <c r="A18" s="65" t="s">
        <v>63</v>
      </c>
      <c r="B18" s="67"/>
      <c r="C18" s="67"/>
      <c r="D18" s="67"/>
      <c r="E18" s="67"/>
      <c r="F18" s="66">
        <f>SUM(F10:F17)</f>
        <v>40177</v>
      </c>
      <c r="G18" s="68"/>
      <c r="H18" s="65" t="s">
        <v>63</v>
      </c>
      <c r="I18" s="67"/>
      <c r="J18" s="66">
        <f>SUM(J10:J17)</f>
        <v>72318.600000000006</v>
      </c>
      <c r="P18" s="3" t="s">
        <v>62</v>
      </c>
      <c r="S18" s="67"/>
      <c r="T18" s="67"/>
      <c r="U18" s="67"/>
      <c r="V18" s="67"/>
      <c r="W18" s="66">
        <f>SUM(W10:W17)</f>
        <v>28.64</v>
      </c>
      <c r="X18" s="66">
        <f>SUM(X10:X17)</f>
        <v>2.9699999999999998</v>
      </c>
      <c r="Y18" s="66">
        <f>SUM(Y10:Y17)</f>
        <v>0</v>
      </c>
    </row>
    <row r="19" spans="1:25" x14ac:dyDescent="0.25">
      <c r="A19" s="69" t="s">
        <v>65</v>
      </c>
      <c r="B19" s="71"/>
      <c r="C19" s="71"/>
      <c r="D19" s="71"/>
      <c r="E19" s="71"/>
      <c r="F19" s="70">
        <f>SUMIF(P10:P17,"pr",F10:F17)</f>
        <v>40177</v>
      </c>
      <c r="G19" s="72"/>
      <c r="H19" s="69" t="s">
        <v>65</v>
      </c>
      <c r="I19" s="71"/>
      <c r="J19" s="70">
        <f>SUMIF(P10:P17,"pr",J10:J17)</f>
        <v>72318.600000000006</v>
      </c>
      <c r="P19" s="3" t="s">
        <v>64</v>
      </c>
    </row>
    <row r="20" spans="1:25" x14ac:dyDescent="0.25">
      <c r="A20" s="69" t="s">
        <v>67</v>
      </c>
      <c r="B20" s="71"/>
      <c r="C20" s="71"/>
      <c r="D20" s="71"/>
      <c r="E20" s="71"/>
      <c r="F20" s="70">
        <f>SUMIF(P10:P17,"mat",F10:F17)+SUMIF(P10:P17,"meh",F10:F17)</f>
        <v>0</v>
      </c>
      <c r="G20" s="72"/>
      <c r="H20" s="69" t="s">
        <v>67</v>
      </c>
      <c r="I20" s="71"/>
      <c r="J20" s="70">
        <f>SUMIF(P10:P17,"mat",J10:J17)+SUMIF(P10:P17,"meh",J10:J17)</f>
        <v>0</v>
      </c>
      <c r="P20" s="3" t="s">
        <v>66</v>
      </c>
    </row>
    <row r="21" spans="1:25" x14ac:dyDescent="0.25">
      <c r="A21" s="40"/>
      <c r="B21" s="40"/>
      <c r="C21" s="40"/>
      <c r="D21" s="40"/>
      <c r="E21" s="40"/>
      <c r="F21" s="40"/>
      <c r="G21" s="7"/>
      <c r="H21" s="40"/>
      <c r="I21" s="40"/>
      <c r="J21" s="41"/>
      <c r="L21" s="42"/>
      <c r="P21" s="3" t="s">
        <v>40</v>
      </c>
    </row>
    <row r="22" spans="1:25" x14ac:dyDescent="0.25">
      <c r="A22" s="46">
        <v>2</v>
      </c>
      <c r="B22" s="47" t="s">
        <v>68</v>
      </c>
      <c r="C22" s="48"/>
      <c r="D22" s="48"/>
      <c r="E22" s="48"/>
      <c r="F22" s="48"/>
      <c r="G22" s="45"/>
      <c r="H22" s="48"/>
      <c r="I22" s="48"/>
      <c r="J22" s="48"/>
      <c r="L22" s="42"/>
      <c r="P22" s="3" t="s">
        <v>41</v>
      </c>
      <c r="S22" s="44"/>
      <c r="T22" s="44"/>
      <c r="U22" s="44"/>
      <c r="V22" s="44"/>
      <c r="W22" s="44"/>
      <c r="X22" s="44"/>
      <c r="Y22" s="44"/>
    </row>
    <row r="23" spans="1:25" hidden="1" x14ac:dyDescent="0.25">
      <c r="P23" s="3" t="s">
        <v>43</v>
      </c>
    </row>
    <row r="24" spans="1:25" x14ac:dyDescent="0.25">
      <c r="A24" s="53">
        <v>1</v>
      </c>
      <c r="B24" s="54" t="s">
        <v>69</v>
      </c>
      <c r="C24" s="55" t="s">
        <v>52</v>
      </c>
      <c r="D24" s="58">
        <v>15</v>
      </c>
      <c r="E24" s="58">
        <v>60</v>
      </c>
      <c r="F24" s="57">
        <f>ROUND(E24*ROUND(D24,2),2)</f>
        <v>900</v>
      </c>
      <c r="G24" s="51" t="s">
        <v>47</v>
      </c>
      <c r="H24" s="59">
        <f>KoeffForPrice</f>
        <v>1.8</v>
      </c>
      <c r="I24" s="56">
        <f>ROUND(E24*H24,2)</f>
        <v>108</v>
      </c>
      <c r="J24" s="57">
        <f>ROUND(I24*ROUND(D24,2),2)</f>
        <v>1620</v>
      </c>
      <c r="L24" s="42"/>
      <c r="P24" s="3" t="s">
        <v>44</v>
      </c>
      <c r="S24" s="60">
        <v>0</v>
      </c>
      <c r="T24" s="61">
        <v>0</v>
      </c>
      <c r="U24" s="62"/>
      <c r="V24" s="56"/>
      <c r="W24" s="56">
        <f>ROUND(D24*S24,2)</f>
        <v>0</v>
      </c>
      <c r="X24" s="56">
        <f>ROUND(D24*T24,2)</f>
        <v>0</v>
      </c>
      <c r="Y24" s="57"/>
    </row>
    <row r="25" spans="1:25" x14ac:dyDescent="0.25">
      <c r="A25" s="53">
        <v>2</v>
      </c>
      <c r="B25" s="54" t="s">
        <v>70</v>
      </c>
      <c r="C25" s="55" t="s">
        <v>52</v>
      </c>
      <c r="D25" s="58">
        <v>15</v>
      </c>
      <c r="E25" s="58">
        <v>330</v>
      </c>
      <c r="F25" s="57">
        <f>ROUND(E25*ROUND(D25,2),2)</f>
        <v>4950</v>
      </c>
      <c r="G25" s="51" t="s">
        <v>47</v>
      </c>
      <c r="H25" s="59">
        <f>KoeffForPrice</f>
        <v>1.8</v>
      </c>
      <c r="I25" s="56">
        <f>ROUND(E25*H25,2)</f>
        <v>594</v>
      </c>
      <c r="J25" s="57">
        <f>ROUND(I25*ROUND(D25,2),2)</f>
        <v>8910</v>
      </c>
      <c r="L25" s="42"/>
      <c r="P25" s="3" t="s">
        <v>44</v>
      </c>
      <c r="S25" s="60">
        <v>0</v>
      </c>
      <c r="T25" s="61">
        <v>0</v>
      </c>
      <c r="U25" s="62"/>
      <c r="V25" s="56"/>
      <c r="W25" s="56">
        <f>ROUND(D25*S25,2)</f>
        <v>0</v>
      </c>
      <c r="X25" s="56">
        <f>ROUND(D25*T25,2)</f>
        <v>0</v>
      </c>
      <c r="Y25" s="57"/>
    </row>
    <row r="26" spans="1:25" hidden="1" x14ac:dyDescent="0.25">
      <c r="P26" s="3" t="s">
        <v>61</v>
      </c>
    </row>
    <row r="27" spans="1:25" x14ac:dyDescent="0.25">
      <c r="A27" s="65" t="s">
        <v>63</v>
      </c>
      <c r="B27" s="67"/>
      <c r="C27" s="67"/>
      <c r="D27" s="67"/>
      <c r="E27" s="67"/>
      <c r="F27" s="66">
        <f>SUM(F23:F26)</f>
        <v>5850</v>
      </c>
      <c r="G27" s="68"/>
      <c r="H27" s="65" t="s">
        <v>63</v>
      </c>
      <c r="I27" s="67"/>
      <c r="J27" s="66">
        <f>SUM(J23:J26)</f>
        <v>10530</v>
      </c>
      <c r="P27" s="3" t="s">
        <v>62</v>
      </c>
      <c r="S27" s="67"/>
      <c r="T27" s="67"/>
      <c r="U27" s="67"/>
      <c r="V27" s="67"/>
      <c r="W27" s="66">
        <f>SUM(W23:W26)</f>
        <v>0</v>
      </c>
      <c r="X27" s="66">
        <f>SUM(X23:X26)</f>
        <v>0</v>
      </c>
      <c r="Y27" s="66">
        <f>SUM(Y23:Y26)</f>
        <v>0</v>
      </c>
    </row>
    <row r="28" spans="1:25" x14ac:dyDescent="0.25">
      <c r="A28" s="69" t="s">
        <v>65</v>
      </c>
      <c r="B28" s="71"/>
      <c r="C28" s="71"/>
      <c r="D28" s="71"/>
      <c r="E28" s="71"/>
      <c r="F28" s="70">
        <f>SUMIF(P23:P26,"pr",F23:F26)</f>
        <v>5850</v>
      </c>
      <c r="G28" s="72"/>
      <c r="H28" s="69" t="s">
        <v>65</v>
      </c>
      <c r="I28" s="71"/>
      <c r="J28" s="70">
        <f>SUMIF(P23:P26,"pr",J23:J26)</f>
        <v>10530</v>
      </c>
      <c r="P28" s="3" t="s">
        <v>64</v>
      </c>
    </row>
    <row r="29" spans="1:25" x14ac:dyDescent="0.25">
      <c r="A29" s="69" t="s">
        <v>67</v>
      </c>
      <c r="B29" s="71"/>
      <c r="C29" s="71"/>
      <c r="D29" s="71"/>
      <c r="E29" s="71"/>
      <c r="F29" s="70">
        <f>SUMIF(P23:P26,"mat",F23:F26)+SUMIF(P23:P26,"meh",F23:F26)</f>
        <v>0</v>
      </c>
      <c r="G29" s="72"/>
      <c r="H29" s="69" t="s">
        <v>67</v>
      </c>
      <c r="I29" s="71"/>
      <c r="J29" s="70">
        <f>SUMIF(P23:P26,"mat",J23:J26)+SUMIF(P23:P26,"meh",J23:J26)</f>
        <v>0</v>
      </c>
      <c r="P29" s="3" t="s">
        <v>66</v>
      </c>
    </row>
    <row r="30" spans="1:25" x14ac:dyDescent="0.25">
      <c r="A30" s="40"/>
      <c r="B30" s="40"/>
      <c r="C30" s="40"/>
      <c r="D30" s="40"/>
      <c r="E30" s="40"/>
      <c r="F30" s="40"/>
      <c r="G30" s="7"/>
      <c r="H30" s="40"/>
      <c r="I30" s="40"/>
      <c r="J30" s="41"/>
      <c r="L30" s="42"/>
      <c r="P30" s="3" t="s">
        <v>40</v>
      </c>
    </row>
    <row r="31" spans="1:25" x14ac:dyDescent="0.25">
      <c r="A31" s="88" t="s">
        <v>72</v>
      </c>
      <c r="B31" s="91"/>
      <c r="C31" s="91"/>
      <c r="D31" s="91"/>
      <c r="E31" s="91"/>
      <c r="F31" s="89">
        <f>SUMIF(P8:P30,"irazd",F8:F30)</f>
        <v>46027</v>
      </c>
      <c r="G31" s="92"/>
      <c r="H31" s="88" t="s">
        <v>72</v>
      </c>
      <c r="I31" s="91"/>
      <c r="J31" s="90">
        <f>SUMIF(P8:P30,"irazd",J8:J30)</f>
        <v>82848.600000000006</v>
      </c>
      <c r="L31" s="42"/>
      <c r="P31" s="3" t="s">
        <v>71</v>
      </c>
      <c r="W31" s="73">
        <f>SUMIF(P8:P30,"irazd",W8:W30)</f>
        <v>28.64</v>
      </c>
      <c r="X31" s="73">
        <f>SUMIF(P8:P30,"irazd",X8:X30)</f>
        <v>2.9699999999999998</v>
      </c>
      <c r="Y31" s="73">
        <f>SUMIF(P8:P30,"irazd",Y8:Y30)</f>
        <v>0</v>
      </c>
    </row>
    <row r="32" spans="1:25" x14ac:dyDescent="0.25">
      <c r="A32" s="93" t="s">
        <v>65</v>
      </c>
      <c r="B32" s="96"/>
      <c r="C32" s="96"/>
      <c r="D32" s="96"/>
      <c r="E32" s="96"/>
      <c r="F32" s="94">
        <f>SUMIF(P8:P30,"irazdp",F8:F30)</f>
        <v>46027</v>
      </c>
      <c r="G32" s="97"/>
      <c r="H32" s="93" t="s">
        <v>65</v>
      </c>
      <c r="I32" s="96"/>
      <c r="J32" s="95">
        <f>SUMIF(P8:P30,"irazdp",J8:J30)</f>
        <v>82848.600000000006</v>
      </c>
      <c r="L32" s="42"/>
      <c r="P32" s="3" t="s">
        <v>73</v>
      </c>
    </row>
    <row r="33" spans="1:16" x14ac:dyDescent="0.25">
      <c r="A33" s="93" t="s">
        <v>67</v>
      </c>
      <c r="B33" s="96"/>
      <c r="C33" s="96"/>
      <c r="D33" s="96"/>
      <c r="E33" s="96"/>
      <c r="F33" s="94">
        <f>SUMIF(P8:P30,"irazdm",F8:F30)</f>
        <v>0</v>
      </c>
      <c r="G33" s="97"/>
      <c r="H33" s="93" t="s">
        <v>67</v>
      </c>
      <c r="I33" s="96"/>
      <c r="J33" s="95">
        <f>SUMIF(P8:P30,"irazdm",J8:J30)</f>
        <v>0</v>
      </c>
      <c r="L33" s="42"/>
      <c r="P33" s="3" t="s">
        <v>74</v>
      </c>
    </row>
    <row r="34" spans="1:16" x14ac:dyDescent="0.25">
      <c r="A34" s="40"/>
      <c r="B34" s="40"/>
      <c r="C34" s="40"/>
      <c r="D34" s="40"/>
      <c r="E34" s="40"/>
      <c r="F34" s="40"/>
      <c r="G34" s="99"/>
      <c r="H34" s="40"/>
      <c r="I34" s="40"/>
      <c r="J34" s="41"/>
      <c r="L34" s="42"/>
      <c r="P34" s="3" t="s">
        <v>75</v>
      </c>
    </row>
    <row r="35" spans="1:16" x14ac:dyDescent="0.25">
      <c r="A35" s="84" t="s">
        <v>77</v>
      </c>
      <c r="B35" s="101"/>
      <c r="C35" s="100">
        <v>0.05</v>
      </c>
      <c r="D35" s="101"/>
      <c r="E35" s="101"/>
      <c r="F35" s="86">
        <f>ROUND(F31*НР,2)</f>
        <v>2301.35</v>
      </c>
      <c r="G35" s="102"/>
      <c r="H35" s="101"/>
      <c r="I35" s="101"/>
      <c r="J35" s="103"/>
      <c r="L35" s="42"/>
      <c r="P35" s="3" t="s">
        <v>76</v>
      </c>
    </row>
    <row r="36" spans="1:16" x14ac:dyDescent="0.25">
      <c r="A36" s="88" t="s">
        <v>79</v>
      </c>
      <c r="B36" s="91"/>
      <c r="C36" s="91"/>
      <c r="D36" s="91"/>
      <c r="E36" s="91"/>
      <c r="F36" s="89">
        <f>F31+F35</f>
        <v>48328.35</v>
      </c>
      <c r="G36" s="92"/>
      <c r="H36" s="91"/>
      <c r="I36" s="91"/>
      <c r="J36" s="104"/>
      <c r="L36" s="42"/>
      <c r="P36" s="3" t="s">
        <v>78</v>
      </c>
    </row>
    <row r="37" spans="1:16" x14ac:dyDescent="0.25">
      <c r="A37" s="40"/>
      <c r="B37" s="40"/>
      <c r="C37" s="40"/>
      <c r="D37" s="40"/>
      <c r="E37" s="40"/>
      <c r="F37" s="40"/>
      <c r="G37" s="99"/>
      <c r="H37" s="40"/>
      <c r="I37" s="40"/>
      <c r="J37" s="41"/>
      <c r="L37" s="42"/>
      <c r="P37" s="3" t="s">
        <v>75</v>
      </c>
    </row>
    <row r="38" spans="1:16" ht="21.75" customHeight="1" x14ac:dyDescent="0.25">
      <c r="A38" s="77" t="s">
        <v>80</v>
      </c>
      <c r="B38" s="78"/>
      <c r="C38" s="78"/>
      <c r="D38" s="78"/>
      <c r="E38" s="78"/>
      <c r="F38" s="78"/>
      <c r="G38" s="105"/>
      <c r="H38" s="40"/>
      <c r="I38" s="40"/>
      <c r="J38" s="41"/>
      <c r="L38" s="42"/>
      <c r="P38" s="3" t="s">
        <v>75</v>
      </c>
    </row>
    <row r="39" spans="1:16" x14ac:dyDescent="0.25">
      <c r="A39" s="40"/>
      <c r="B39" s="40"/>
      <c r="C39" s="40"/>
      <c r="D39" s="40"/>
      <c r="E39" s="40"/>
      <c r="F39" s="40"/>
      <c r="G39" s="98"/>
      <c r="H39" s="40"/>
      <c r="I39" s="40"/>
      <c r="J39" s="41"/>
      <c r="L39" s="42"/>
      <c r="P39" s="3" t="s">
        <v>75</v>
      </c>
    </row>
    <row r="40" spans="1:16" x14ac:dyDescent="0.25">
      <c r="A40" s="84" t="s">
        <v>72</v>
      </c>
      <c r="B40" s="85"/>
      <c r="C40" s="85"/>
      <c r="D40" s="85"/>
      <c r="E40" s="85"/>
      <c r="F40" s="85"/>
      <c r="G40" s="106"/>
      <c r="H40" s="85"/>
      <c r="I40" s="85"/>
      <c r="J40" s="87">
        <f>ItogoPoRazdelam1</f>
        <v>82848.600000000006</v>
      </c>
      <c r="L40" s="42"/>
      <c r="P40" s="3" t="s">
        <v>81</v>
      </c>
    </row>
    <row r="41" spans="1:16" x14ac:dyDescent="0.25">
      <c r="A41" s="84"/>
      <c r="B41" s="85"/>
      <c r="C41" s="85"/>
      <c r="D41" s="85"/>
      <c r="E41" s="85"/>
      <c r="F41" s="85"/>
      <c r="G41" s="106"/>
      <c r="H41" s="85"/>
      <c r="I41" s="85"/>
      <c r="J41" s="87"/>
      <c r="L41" s="42"/>
      <c r="P41" s="3" t="s">
        <v>82</v>
      </c>
    </row>
    <row r="42" spans="1:16" x14ac:dyDescent="0.25">
      <c r="A42" s="84" t="s">
        <v>84</v>
      </c>
      <c r="B42" s="84"/>
      <c r="C42" s="100"/>
      <c r="D42" s="84"/>
      <c r="E42" s="84"/>
      <c r="F42" s="84"/>
      <c r="G42" s="107"/>
      <c r="H42" s="84"/>
      <c r="I42" s="84"/>
      <c r="J42" s="87" t="s">
        <v>39</v>
      </c>
      <c r="L42" s="42"/>
      <c r="P42" s="3" t="s">
        <v>83</v>
      </c>
    </row>
    <row r="43" spans="1:16" x14ac:dyDescent="0.25">
      <c r="A43" s="88" t="s">
        <v>86</v>
      </c>
      <c r="B43" s="88"/>
      <c r="C43" s="109"/>
      <c r="D43" s="88"/>
      <c r="E43" s="88"/>
      <c r="F43" s="88"/>
      <c r="G43" s="108"/>
      <c r="H43" s="88"/>
      <c r="I43" s="88"/>
      <c r="J43" s="90">
        <f>J40</f>
        <v>82848.600000000006</v>
      </c>
      <c r="L43" s="42"/>
      <c r="P43" s="3" t="s">
        <v>85</v>
      </c>
    </row>
    <row r="44" spans="1:16" x14ac:dyDescent="0.25">
      <c r="A44" s="110"/>
      <c r="B44" s="110"/>
      <c r="C44" s="110"/>
      <c r="D44" s="110"/>
      <c r="E44" s="110"/>
      <c r="F44" s="110"/>
      <c r="G44" s="111"/>
      <c r="H44" s="110"/>
      <c r="I44" s="110"/>
      <c r="J44" s="112"/>
      <c r="L44" s="42"/>
      <c r="P44" s="3" t="s">
        <v>87</v>
      </c>
    </row>
    <row r="45" spans="1:16" x14ac:dyDescent="0.25">
      <c r="A45" s="40"/>
      <c r="B45" s="40"/>
      <c r="C45" s="40"/>
      <c r="D45" s="40"/>
      <c r="E45" s="40"/>
      <c r="F45" s="40"/>
      <c r="G45"/>
      <c r="H45" s="40"/>
      <c r="I45" s="40"/>
      <c r="J45" s="40"/>
      <c r="L45" s="42"/>
    </row>
  </sheetData>
  <mergeCells count="18">
    <mergeCell ref="V5:V6"/>
    <mergeCell ref="W5:W6"/>
    <mergeCell ref="X5:X6"/>
    <mergeCell ref="Y5:Y6"/>
    <mergeCell ref="A5:F5"/>
    <mergeCell ref="I5:J5"/>
    <mergeCell ref="G5:G7"/>
    <mergeCell ref="S5:S6"/>
    <mergeCell ref="T5:T6"/>
    <mergeCell ref="U5:U6"/>
    <mergeCell ref="C1:D1"/>
    <mergeCell ref="C2:D2"/>
    <mergeCell ref="C3:D3"/>
    <mergeCell ref="C4:D4"/>
    <mergeCell ref="G1:H1"/>
    <mergeCell ref="G2:H2"/>
    <mergeCell ref="G3:H3"/>
    <mergeCell ref="G4:H4"/>
  </mergeCells>
  <pageMargins left="0.7" right="0.7" top="0.75" bottom="0.75" header="0.3" footer="0.3"/>
  <pageSetup paperSize="9" scale="76" fitToHeight="0" orientation="portrait" horizontalDpi="300" verticalDpi="300" r:id="rId1"/>
  <headerFoot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0E18-AB40-400B-970D-EB39E558B1B6}">
  <sheetPr>
    <tabColor rgb="FFFFFF00"/>
    <pageSetUpPr fitToPage="1"/>
  </sheetPr>
  <dimension ref="A1:HZ36"/>
  <sheetViews>
    <sheetView showGridLines="0" zoomScaleNormal="100" workbookViewId="0">
      <selection activeCell="B16" sqref="B16"/>
    </sheetView>
  </sheetViews>
  <sheetFormatPr defaultRowHeight="15.75" x14ac:dyDescent="0.25"/>
  <cols>
    <col min="1" max="1" width="5" style="1" customWidth="1"/>
    <col min="2" max="2" width="62.42578125" style="1" customWidth="1"/>
    <col min="3" max="3" width="9" style="1" customWidth="1"/>
    <col min="4" max="4" width="12.140625" style="1" customWidth="1"/>
    <col min="5" max="5" width="16.7109375" style="1" customWidth="1"/>
    <col min="6" max="6" width="18.7109375" style="1" customWidth="1"/>
    <col min="7" max="15" width="17.7109375" style="1" customWidth="1"/>
    <col min="16" max="234" width="9.140625" style="3"/>
    <col min="235" max="16384" width="9.140625" style="1"/>
  </cols>
  <sheetData>
    <row r="1" spans="1:211" ht="24" customHeight="1" x14ac:dyDescent="0.3">
      <c r="A1" s="113" t="s">
        <v>90</v>
      </c>
      <c r="C1" s="113" t="s">
        <v>91</v>
      </c>
      <c r="T1" s="3" t="s">
        <v>92</v>
      </c>
      <c r="U1" s="3">
        <v>1</v>
      </c>
      <c r="V1" s="3" t="s">
        <v>38</v>
      </c>
      <c r="W1" s="3">
        <v>1</v>
      </c>
      <c r="X1" s="122">
        <v>46072</v>
      </c>
      <c r="GR1" s="3" t="s">
        <v>88</v>
      </c>
      <c r="GS1" s="37" t="s">
        <v>2</v>
      </c>
      <c r="GV1" s="3">
        <v>1</v>
      </c>
      <c r="GW1" s="3" t="s">
        <v>39</v>
      </c>
    </row>
    <row r="2" spans="1:211" ht="15.75" customHeight="1" x14ac:dyDescent="0.25">
      <c r="A2" s="114" t="s">
        <v>99</v>
      </c>
      <c r="B2" s="114"/>
      <c r="C2" s="114" t="s">
        <v>103</v>
      </c>
      <c r="D2" s="114"/>
      <c r="E2" s="114"/>
      <c r="F2" s="114"/>
      <c r="G2"/>
      <c r="T2" s="3" t="s">
        <v>38</v>
      </c>
      <c r="U2" s="3" t="s">
        <v>107</v>
      </c>
      <c r="GR2" s="3" t="s">
        <v>89</v>
      </c>
    </row>
    <row r="3" spans="1:211" ht="57" customHeight="1" x14ac:dyDescent="0.25">
      <c r="A3" s="115" t="s">
        <v>100</v>
      </c>
      <c r="B3" s="115"/>
      <c r="C3" s="115" t="s">
        <v>104</v>
      </c>
      <c r="D3" s="115"/>
      <c r="E3" s="115"/>
      <c r="F3" s="115"/>
      <c r="T3" s="37"/>
      <c r="U3" s="122">
        <v>46072</v>
      </c>
      <c r="V3" s="3">
        <v>0</v>
      </c>
      <c r="W3" s="123">
        <v>0</v>
      </c>
      <c r="X3" s="3">
        <v>0</v>
      </c>
      <c r="GV3" s="3" t="b">
        <v>0</v>
      </c>
      <c r="GW3" s="3">
        <v>0</v>
      </c>
      <c r="GX3" s="3" t="b">
        <v>0</v>
      </c>
      <c r="GZ3" s="3" t="s">
        <v>125</v>
      </c>
      <c r="HA3" s="3" t="s">
        <v>126</v>
      </c>
      <c r="HB3" s="3" t="s">
        <v>127</v>
      </c>
      <c r="HC3" s="3" t="s">
        <v>124</v>
      </c>
    </row>
    <row r="4" spans="1:211" ht="18" customHeight="1" x14ac:dyDescent="0.25">
      <c r="A4" s="114" t="s">
        <v>105</v>
      </c>
      <c r="B4" s="114"/>
      <c r="C4" s="114" t="s">
        <v>105</v>
      </c>
      <c r="D4" s="114"/>
      <c r="E4" s="114"/>
      <c r="F4" s="114"/>
      <c r="T4" s="3" t="s">
        <v>102</v>
      </c>
      <c r="U4" s="3" t="s">
        <v>98</v>
      </c>
      <c r="GR4" s="3" t="s">
        <v>1</v>
      </c>
    </row>
    <row r="5" spans="1:211" ht="39.950000000000003" customHeight="1" x14ac:dyDescent="0.3">
      <c r="A5" s="116" t="s">
        <v>106</v>
      </c>
      <c r="B5" s="116"/>
      <c r="C5" s="116"/>
      <c r="D5" s="116"/>
      <c r="E5" s="116"/>
      <c r="F5" s="116"/>
      <c r="T5" s="37" t="s">
        <v>101</v>
      </c>
      <c r="U5" s="37" t="s">
        <v>97</v>
      </c>
      <c r="GR5" s="3">
        <v>1</v>
      </c>
    </row>
    <row r="6" spans="1:211" ht="39.950000000000003" customHeight="1" x14ac:dyDescent="0.25">
      <c r="A6" s="117" t="s">
        <v>108</v>
      </c>
      <c r="B6" s="117"/>
      <c r="C6" s="117"/>
      <c r="D6" s="117"/>
      <c r="E6" s="117"/>
      <c r="F6" s="117"/>
      <c r="GR6" s="3" t="b">
        <v>1</v>
      </c>
    </row>
    <row r="7" spans="1:211" ht="15.75" customHeight="1" x14ac:dyDescent="0.25">
      <c r="A7" s="1" t="s">
        <v>109</v>
      </c>
      <c r="C7" s="43"/>
      <c r="GR7" s="3" t="b">
        <v>1</v>
      </c>
    </row>
    <row r="8" spans="1:211" ht="15.75" customHeight="1" x14ac:dyDescent="0.25">
      <c r="A8" s="1" t="s">
        <v>110</v>
      </c>
      <c r="GR8" s="3" t="b">
        <v>1</v>
      </c>
    </row>
    <row r="9" spans="1:211" ht="15.75" customHeight="1" x14ac:dyDescent="0.25">
      <c r="E9" s="119" t="s">
        <v>93</v>
      </c>
      <c r="F9" s="120">
        <f>_xlfn.SINGLE(VsegoPoSmete)</f>
        <v>82848.600000000006</v>
      </c>
    </row>
    <row r="10" spans="1:211" ht="15.75" customHeight="1" x14ac:dyDescent="0.25">
      <c r="E10" s="118" t="s">
        <v>94</v>
      </c>
      <c r="F10" s="64">
        <f>_xlfn.SINGLE(ItogoStoimostRabot)</f>
        <v>82848.600000000006</v>
      </c>
    </row>
    <row r="11" spans="1:211" ht="15.75" customHeight="1" x14ac:dyDescent="0.25">
      <c r="A11" s="1" t="s">
        <v>111</v>
      </c>
      <c r="E11" s="118" t="s">
        <v>95</v>
      </c>
      <c r="F11" s="64">
        <f>LabelItogoPoSmete-LabelItogoStRabot</f>
        <v>0</v>
      </c>
    </row>
    <row r="12" spans="1:211" ht="33.75" customHeight="1" x14ac:dyDescent="0.25">
      <c r="A12" s="31" t="s">
        <v>23</v>
      </c>
      <c r="B12" s="31" t="s">
        <v>24</v>
      </c>
      <c r="C12" s="31" t="s">
        <v>96</v>
      </c>
      <c r="D12" s="31" t="s">
        <v>26</v>
      </c>
      <c r="E12" s="31" t="s">
        <v>27</v>
      </c>
      <c r="F12" s="31" t="s">
        <v>28</v>
      </c>
    </row>
    <row r="13" spans="1:211" ht="14.25" customHeight="1" x14ac:dyDescent="0.25">
      <c r="A13" s="33">
        <v>1</v>
      </c>
      <c r="B13" s="33">
        <v>2</v>
      </c>
      <c r="C13" s="33">
        <v>3</v>
      </c>
      <c r="D13" s="33">
        <v>4</v>
      </c>
      <c r="E13" s="33">
        <v>5</v>
      </c>
      <c r="F13" s="33">
        <v>6</v>
      </c>
    </row>
    <row r="14" spans="1:211" x14ac:dyDescent="0.25">
      <c r="P14" s="3" t="s">
        <v>40</v>
      </c>
      <c r="AA14" s="3" t="s">
        <v>128</v>
      </c>
    </row>
    <row r="15" spans="1:211" x14ac:dyDescent="0.25">
      <c r="A15" s="124">
        <v>1</v>
      </c>
      <c r="B15" s="79" t="s">
        <v>42</v>
      </c>
      <c r="P15" s="3" t="s">
        <v>41</v>
      </c>
      <c r="AA15" s="3" t="s">
        <v>129</v>
      </c>
    </row>
    <row r="16" spans="1:211" ht="31.5" x14ac:dyDescent="0.25">
      <c r="A16" s="128" t="s">
        <v>118</v>
      </c>
      <c r="B16" s="129" t="s">
        <v>45</v>
      </c>
      <c r="C16" s="130" t="s">
        <v>46</v>
      </c>
      <c r="D16" s="131">
        <v>79</v>
      </c>
      <c r="E16" s="132">
        <v>59.4</v>
      </c>
      <c r="F16" s="133">
        <f>ROUND(E16*ROUND(D16,2),2)</f>
        <v>4692.6000000000004</v>
      </c>
      <c r="P16" s="3" t="s">
        <v>44</v>
      </c>
      <c r="Q16" s="3" t="s">
        <v>48</v>
      </c>
      <c r="AA16" s="3" t="s">
        <v>130</v>
      </c>
    </row>
    <row r="17" spans="1:27" x14ac:dyDescent="0.25">
      <c r="A17" s="53" t="s">
        <v>119</v>
      </c>
      <c r="B17" s="54" t="s">
        <v>49</v>
      </c>
      <c r="C17" s="55" t="s">
        <v>46</v>
      </c>
      <c r="D17" s="58">
        <v>79</v>
      </c>
      <c r="E17" s="56">
        <v>72</v>
      </c>
      <c r="F17" s="57">
        <f>ROUND(E17*ROUND(D17,2),2)</f>
        <v>5688</v>
      </c>
      <c r="P17" s="3" t="s">
        <v>44</v>
      </c>
      <c r="Q17" s="3" t="s">
        <v>50</v>
      </c>
      <c r="AA17" s="3" t="s">
        <v>131</v>
      </c>
    </row>
    <row r="18" spans="1:27" x14ac:dyDescent="0.25">
      <c r="A18" s="53" t="s">
        <v>120</v>
      </c>
      <c r="B18" s="54" t="s">
        <v>51</v>
      </c>
      <c r="C18" s="55" t="s">
        <v>52</v>
      </c>
      <c r="D18" s="58">
        <v>70</v>
      </c>
      <c r="E18" s="56">
        <v>54</v>
      </c>
      <c r="F18" s="57">
        <f>ROUND(E18*ROUND(D18,2),2)</f>
        <v>3780</v>
      </c>
      <c r="P18" s="3" t="s">
        <v>44</v>
      </c>
      <c r="Q18" s="3" t="s">
        <v>53</v>
      </c>
      <c r="R18" s="3" t="s">
        <v>54</v>
      </c>
      <c r="AA18" s="3" t="s">
        <v>132</v>
      </c>
    </row>
    <row r="19" spans="1:27" ht="47.25" x14ac:dyDescent="0.25">
      <c r="A19" s="53" t="s">
        <v>121</v>
      </c>
      <c r="B19" s="54" t="s">
        <v>55</v>
      </c>
      <c r="C19" s="55" t="s">
        <v>46</v>
      </c>
      <c r="D19" s="58">
        <v>79</v>
      </c>
      <c r="E19" s="56">
        <v>396</v>
      </c>
      <c r="F19" s="57">
        <f>ROUND(E19*ROUND(D19,2),2)</f>
        <v>31284</v>
      </c>
      <c r="P19" s="3" t="s">
        <v>44</v>
      </c>
      <c r="Q19" s="3" t="s">
        <v>56</v>
      </c>
      <c r="R19" s="3" t="s">
        <v>54</v>
      </c>
      <c r="AA19" s="3" t="s">
        <v>133</v>
      </c>
    </row>
    <row r="20" spans="1:27" x14ac:dyDescent="0.25">
      <c r="A20" s="53" t="s">
        <v>122</v>
      </c>
      <c r="B20" s="54" t="s">
        <v>57</v>
      </c>
      <c r="C20" s="55" t="s">
        <v>58</v>
      </c>
      <c r="D20" s="58">
        <v>1</v>
      </c>
      <c r="E20" s="56">
        <v>2700</v>
      </c>
      <c r="F20" s="57">
        <f>ROUND(E20*ROUND(D20,2),2)</f>
        <v>2700</v>
      </c>
      <c r="P20" s="3" t="s">
        <v>44</v>
      </c>
      <c r="Q20" s="3" t="s">
        <v>59</v>
      </c>
      <c r="AA20" s="3" t="s">
        <v>134</v>
      </c>
    </row>
    <row r="21" spans="1:27" x14ac:dyDescent="0.25">
      <c r="A21" s="134" t="s">
        <v>123</v>
      </c>
      <c r="B21" s="135" t="s">
        <v>60</v>
      </c>
      <c r="C21" s="136" t="s">
        <v>46</v>
      </c>
      <c r="D21" s="137">
        <v>79</v>
      </c>
      <c r="E21" s="138">
        <v>306</v>
      </c>
      <c r="F21" s="139">
        <f>ROUND(E21*ROUND(D21,2),2)</f>
        <v>24174</v>
      </c>
      <c r="P21" s="3" t="s">
        <v>44</v>
      </c>
      <c r="AA21" s="3" t="s">
        <v>135</v>
      </c>
    </row>
    <row r="22" spans="1:27" x14ac:dyDescent="0.25">
      <c r="A22" s="125" t="s">
        <v>112</v>
      </c>
      <c r="B22" s="125"/>
      <c r="F22" s="127">
        <f>SUM(F16:F21)</f>
        <v>72318.600000000006</v>
      </c>
      <c r="P22" s="3" t="s">
        <v>62</v>
      </c>
      <c r="AA22" s="3" t="s">
        <v>136</v>
      </c>
    </row>
    <row r="23" spans="1:27" x14ac:dyDescent="0.25">
      <c r="P23" s="3" t="s">
        <v>40</v>
      </c>
      <c r="AA23" s="3" t="s">
        <v>137</v>
      </c>
    </row>
    <row r="24" spans="1:27" x14ac:dyDescent="0.25">
      <c r="A24" s="124">
        <v>2</v>
      </c>
      <c r="B24" s="79" t="s">
        <v>68</v>
      </c>
      <c r="P24" s="3" t="s">
        <v>41</v>
      </c>
      <c r="AA24" s="3" t="s">
        <v>138</v>
      </c>
    </row>
    <row r="25" spans="1:27" x14ac:dyDescent="0.25">
      <c r="A25" s="128" t="s">
        <v>118</v>
      </c>
      <c r="B25" s="129" t="s">
        <v>69</v>
      </c>
      <c r="C25" s="130" t="s">
        <v>52</v>
      </c>
      <c r="D25" s="131">
        <v>15</v>
      </c>
      <c r="E25" s="132">
        <v>108</v>
      </c>
      <c r="F25" s="133">
        <f>ROUND(E25*ROUND(D25,2),2)</f>
        <v>1620</v>
      </c>
      <c r="P25" s="3" t="s">
        <v>44</v>
      </c>
      <c r="AA25" s="3" t="s">
        <v>139</v>
      </c>
    </row>
    <row r="26" spans="1:27" x14ac:dyDescent="0.25">
      <c r="A26" s="134" t="s">
        <v>119</v>
      </c>
      <c r="B26" s="135" t="s">
        <v>70</v>
      </c>
      <c r="C26" s="136" t="s">
        <v>52</v>
      </c>
      <c r="D26" s="137">
        <v>15</v>
      </c>
      <c r="E26" s="138">
        <v>594</v>
      </c>
      <c r="F26" s="139">
        <f>ROUND(E26*ROUND(D26,2),2)</f>
        <v>8910</v>
      </c>
      <c r="P26" s="3" t="s">
        <v>44</v>
      </c>
      <c r="AA26" s="3" t="s">
        <v>140</v>
      </c>
    </row>
    <row r="27" spans="1:27" x14ac:dyDescent="0.25">
      <c r="A27" s="125" t="s">
        <v>112</v>
      </c>
      <c r="B27" s="125"/>
      <c r="F27" s="127">
        <f>SUM(F25:F26)</f>
        <v>10530</v>
      </c>
      <c r="P27" s="3" t="s">
        <v>62</v>
      </c>
      <c r="AA27" s="3" t="s">
        <v>141</v>
      </c>
    </row>
    <row r="28" spans="1:27" x14ac:dyDescent="0.25">
      <c r="P28" s="3" t="s">
        <v>40</v>
      </c>
      <c r="AA28" s="3" t="s">
        <v>142</v>
      </c>
    </row>
    <row r="29" spans="1:27" x14ac:dyDescent="0.25">
      <c r="A29" s="125" t="s">
        <v>113</v>
      </c>
      <c r="B29" s="125"/>
      <c r="F29" s="127">
        <f>SUMIF(P14:P28,"irazd",F14:F28)</f>
        <v>82848.600000000006</v>
      </c>
      <c r="P29" s="3" t="s">
        <v>81</v>
      </c>
      <c r="AA29" s="3" t="s">
        <v>143</v>
      </c>
    </row>
    <row r="30" spans="1:27" hidden="1" x14ac:dyDescent="0.25">
      <c r="A30" s="140" t="s">
        <v>65</v>
      </c>
      <c r="B30" s="140"/>
      <c r="C30" s="74"/>
      <c r="D30" s="74"/>
      <c r="E30" s="74"/>
      <c r="F30" s="141">
        <f>SUMIF(P14:P28,"pr",F14:F28)</f>
        <v>82848.600000000006</v>
      </c>
      <c r="P30" s="3" t="s">
        <v>73</v>
      </c>
      <c r="AA30" s="3" t="s">
        <v>144</v>
      </c>
    </row>
    <row r="31" spans="1:27" hidden="1" x14ac:dyDescent="0.25">
      <c r="A31" s="140" t="s">
        <v>114</v>
      </c>
      <c r="B31" s="140"/>
      <c r="C31" s="74"/>
      <c r="D31" s="74"/>
      <c r="E31" s="74"/>
      <c r="F31" s="141">
        <f>ItogoPoRazdelam-ItogoStoimostRabot</f>
        <v>0</v>
      </c>
      <c r="P31" s="3" t="s">
        <v>74</v>
      </c>
      <c r="AA31" s="3" t="s">
        <v>145</v>
      </c>
    </row>
    <row r="32" spans="1:27" x14ac:dyDescent="0.25">
      <c r="P32" s="3" t="s">
        <v>82</v>
      </c>
      <c r="AA32" s="3" t="s">
        <v>146</v>
      </c>
    </row>
    <row r="33" spans="1:27" x14ac:dyDescent="0.25">
      <c r="A33" s="1" t="s">
        <v>84</v>
      </c>
      <c r="C33" s="142"/>
      <c r="F33" s="64" t="s">
        <v>39</v>
      </c>
      <c r="P33" s="3" t="s">
        <v>83</v>
      </c>
      <c r="AA33" s="3" t="s">
        <v>147</v>
      </c>
    </row>
    <row r="34" spans="1:27" x14ac:dyDescent="0.25">
      <c r="A34" s="76" t="s">
        <v>115</v>
      </c>
      <c r="B34" s="76"/>
      <c r="C34" s="76"/>
      <c r="D34" s="76"/>
      <c r="E34" s="76"/>
      <c r="F34" s="143">
        <f>ItogoPoRazdelam</f>
        <v>82848.600000000006</v>
      </c>
      <c r="P34" s="3" t="s">
        <v>85</v>
      </c>
      <c r="AA34" s="3" t="s">
        <v>148</v>
      </c>
    </row>
    <row r="35" spans="1:27" ht="80.099999999999994" customHeight="1" x14ac:dyDescent="0.25">
      <c r="B35" s="144" t="s">
        <v>116</v>
      </c>
    </row>
    <row r="36" spans="1:27" ht="80.099999999999994" customHeight="1" x14ac:dyDescent="0.25">
      <c r="B36" s="144" t="s">
        <v>117</v>
      </c>
    </row>
  </sheetData>
  <mergeCells count="8">
    <mergeCell ref="A5:F5"/>
    <mergeCell ref="A6:F6"/>
    <mergeCell ref="C2:F2"/>
    <mergeCell ref="A2:B2"/>
    <mergeCell ref="C3:F3"/>
    <mergeCell ref="A3:B3"/>
    <mergeCell ref="C4:F4"/>
    <mergeCell ref="A4:B4"/>
  </mergeCells>
  <pageMargins left="0.7" right="0.7" top="0.75" bottom="0.75" header="0.3" footer="0.3"/>
  <pageSetup paperSize="9" scale="72" fitToHeight="0" orientation="portrait" horizontalDpi="300" verticalDpi="300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2DE-C122-4478-B017-BB979CF963D1}">
  <sheetPr>
    <tabColor rgb="FF00FF00"/>
    <pageSetUpPr fitToPage="1"/>
  </sheetPr>
  <dimension ref="A1:HZ52"/>
  <sheetViews>
    <sheetView showGridLines="0" zoomScaleNormal="100" workbookViewId="0"/>
  </sheetViews>
  <sheetFormatPr defaultRowHeight="15.75" x14ac:dyDescent="0.25"/>
  <cols>
    <col min="1" max="1" width="6.140625" style="1" customWidth="1"/>
    <col min="2" max="2" width="6.42578125" style="1" customWidth="1"/>
    <col min="3" max="3" width="66.140625" style="1" customWidth="1"/>
    <col min="4" max="4" width="12.140625" style="1" customWidth="1"/>
    <col min="5" max="5" width="14.42578125" style="1" customWidth="1"/>
    <col min="6" max="6" width="13" style="1" customWidth="1"/>
    <col min="7" max="7" width="13.85546875" style="1" customWidth="1"/>
    <col min="8" max="8" width="15.85546875" style="1" customWidth="1"/>
    <col min="9" max="9" width="18.7109375" style="1" customWidth="1"/>
    <col min="10" max="15" width="18.7109375" style="3" customWidth="1"/>
    <col min="16" max="157" width="9.140625" style="3"/>
    <col min="158" max="158" width="103.5703125" style="3" customWidth="1"/>
    <col min="159" max="234" width="9.140625" style="3"/>
    <col min="235" max="16384" width="9.140625" style="1"/>
  </cols>
  <sheetData>
    <row r="1" spans="1:205" x14ac:dyDescent="0.25">
      <c r="F1" s="2" t="s">
        <v>169</v>
      </c>
      <c r="T1" s="3" t="s">
        <v>38</v>
      </c>
      <c r="U1" s="146" t="s">
        <v>107</v>
      </c>
      <c r="GR1" s="3" t="s">
        <v>149</v>
      </c>
      <c r="GS1" s="37" t="s">
        <v>150</v>
      </c>
      <c r="GV1" s="3">
        <v>1</v>
      </c>
      <c r="GW1" s="3" t="s">
        <v>39</v>
      </c>
    </row>
    <row r="2" spans="1:205" x14ac:dyDescent="0.25">
      <c r="F2" s="2" t="s">
        <v>170</v>
      </c>
      <c r="R2" s="37"/>
      <c r="GR2" s="37" t="s">
        <v>2</v>
      </c>
    </row>
    <row r="3" spans="1:205" x14ac:dyDescent="0.25">
      <c r="F3" s="2" t="s">
        <v>171</v>
      </c>
      <c r="R3" s="3" t="b">
        <v>1</v>
      </c>
      <c r="GR3" s="37" t="s">
        <v>1</v>
      </c>
    </row>
    <row r="4" spans="1:205" ht="16.5" thickBot="1" x14ac:dyDescent="0.3">
      <c r="C4"/>
      <c r="H4" s="155" t="s">
        <v>185</v>
      </c>
      <c r="R4" s="3" t="b">
        <v>0</v>
      </c>
      <c r="T4" s="3" t="s">
        <v>101</v>
      </c>
      <c r="U4" s="3" t="s">
        <v>97</v>
      </c>
      <c r="V4" s="3" t="s">
        <v>97</v>
      </c>
    </row>
    <row r="5" spans="1:205" x14ac:dyDescent="0.25">
      <c r="C5"/>
      <c r="G5" s="118" t="s">
        <v>176</v>
      </c>
      <c r="H5" s="167" t="s">
        <v>186</v>
      </c>
      <c r="GR5" s="37" t="s">
        <v>223</v>
      </c>
    </row>
    <row r="6" spans="1:205" x14ac:dyDescent="0.25">
      <c r="A6" s="148" t="s">
        <v>151</v>
      </c>
      <c r="C6" s="149" t="s">
        <v>194</v>
      </c>
      <c r="D6" s="149"/>
      <c r="E6" s="149"/>
      <c r="F6" s="149"/>
      <c r="G6" s="118" t="s">
        <v>177</v>
      </c>
      <c r="H6" s="156" t="s">
        <v>195</v>
      </c>
      <c r="FB6" s="147" t="str">
        <f>C6</f>
        <v>ЗАО "Заказчик", г. Москва, ул. Самая длинная, д.54, тел: 8 (495) 123-45-67</v>
      </c>
    </row>
    <row r="7" spans="1:205" x14ac:dyDescent="0.25">
      <c r="A7" s="148"/>
      <c r="C7" s="151" t="s">
        <v>159</v>
      </c>
      <c r="D7" s="150"/>
      <c r="E7" s="150"/>
      <c r="F7" s="150"/>
      <c r="G7" s="118"/>
      <c r="H7" s="166" t="s">
        <v>195</v>
      </c>
    </row>
    <row r="8" spans="1:205" x14ac:dyDescent="0.25">
      <c r="A8" s="148" t="s">
        <v>152</v>
      </c>
      <c r="C8" s="149" t="s">
        <v>194</v>
      </c>
      <c r="D8" s="149"/>
      <c r="E8" s="149"/>
      <c r="F8" s="149"/>
      <c r="G8" s="118" t="s">
        <v>177</v>
      </c>
      <c r="H8" s="166"/>
      <c r="FB8" s="147" t="str">
        <f>C8</f>
        <v>ЗАО "Заказчик", г. Москва, ул. Самая длинная, д.54, тел: 8 (495) 123-45-67</v>
      </c>
    </row>
    <row r="9" spans="1:205" x14ac:dyDescent="0.25">
      <c r="A9" s="148"/>
      <c r="C9" s="151" t="s">
        <v>159</v>
      </c>
      <c r="D9" s="150"/>
      <c r="E9" s="150"/>
      <c r="F9" s="150"/>
      <c r="G9" s="118"/>
      <c r="H9" s="166" t="s">
        <v>198</v>
      </c>
    </row>
    <row r="10" spans="1:205" ht="31.5" x14ac:dyDescent="0.25">
      <c r="A10" s="148" t="s">
        <v>153</v>
      </c>
      <c r="C10" s="149" t="s">
        <v>197</v>
      </c>
      <c r="D10" s="149"/>
      <c r="E10" s="149"/>
      <c r="F10" s="149"/>
      <c r="G10" s="118" t="s">
        <v>177</v>
      </c>
      <c r="H10" s="166"/>
      <c r="FB10" s="147" t="str">
        <f>C10</f>
        <v>ООО РСК ДОММАСТЕР, 	453261, Башкортостан респ., г. Салават, ул. Уфимская, д. 37 к. А , тел: 89174806003</v>
      </c>
    </row>
    <row r="11" spans="1:205" x14ac:dyDescent="0.25">
      <c r="A11" s="148"/>
      <c r="C11" s="151" t="s">
        <v>159</v>
      </c>
      <c r="D11" s="150"/>
      <c r="E11" s="150"/>
      <c r="F11" s="150"/>
      <c r="G11" s="118"/>
      <c r="H11" s="166"/>
    </row>
    <row r="12" spans="1:205" x14ac:dyDescent="0.25">
      <c r="A12" s="148" t="s">
        <v>154</v>
      </c>
      <c r="C12" s="149" t="s">
        <v>200</v>
      </c>
      <c r="D12" s="149"/>
      <c r="E12" s="149"/>
      <c r="F12" s="149"/>
      <c r="G12" s="118"/>
      <c r="H12" s="166"/>
      <c r="FB12" s="147" t="str">
        <f>C12</f>
        <v>Ремонтно отделочные работы, г. Москва, ул. Самая длинная, д.54</v>
      </c>
    </row>
    <row r="13" spans="1:205" x14ac:dyDescent="0.25">
      <c r="A13" s="148"/>
      <c r="C13" s="151" t="s">
        <v>160</v>
      </c>
      <c r="D13" s="150"/>
      <c r="E13" s="150"/>
      <c r="F13" s="150"/>
      <c r="G13" s="118"/>
      <c r="H13" s="166"/>
    </row>
    <row r="14" spans="1:205" x14ac:dyDescent="0.25">
      <c r="A14" s="148" t="s">
        <v>155</v>
      </c>
      <c r="C14" s="149" t="s">
        <v>38</v>
      </c>
      <c r="D14" s="149"/>
      <c r="E14" s="149"/>
      <c r="F14" s="149"/>
      <c r="G14" s="118"/>
      <c r="H14" s="157"/>
      <c r="FB14" s="147" t="str">
        <f>C14</f>
        <v>Ремонтно отделочные работы</v>
      </c>
    </row>
    <row r="15" spans="1:205" x14ac:dyDescent="0.25">
      <c r="C15" s="152" t="s">
        <v>161</v>
      </c>
      <c r="D15" s="153"/>
      <c r="G15" s="118" t="s">
        <v>178</v>
      </c>
      <c r="H15" s="156"/>
    </row>
    <row r="16" spans="1:205" x14ac:dyDescent="0.25">
      <c r="F16" s="118" t="s">
        <v>172</v>
      </c>
      <c r="G16" s="154" t="s">
        <v>179</v>
      </c>
      <c r="H16" s="156" t="s">
        <v>193</v>
      </c>
    </row>
    <row r="17" spans="1:27" x14ac:dyDescent="0.25">
      <c r="G17" s="154" t="s">
        <v>180</v>
      </c>
      <c r="H17" s="158">
        <v>46072</v>
      </c>
    </row>
    <row r="18" spans="1:27" ht="16.5" thickBot="1" x14ac:dyDescent="0.3">
      <c r="G18" s="118" t="s">
        <v>181</v>
      </c>
      <c r="H18" s="159"/>
    </row>
    <row r="19" spans="1:27" ht="10.5" customHeight="1" x14ac:dyDescent="0.25"/>
    <row r="20" spans="1:27" x14ac:dyDescent="0.25">
      <c r="D20" s="160" t="s">
        <v>165</v>
      </c>
      <c r="E20" s="160" t="s">
        <v>168</v>
      </c>
      <c r="G20" s="160" t="s">
        <v>182</v>
      </c>
      <c r="H20" s="160"/>
    </row>
    <row r="21" spans="1:27" ht="16.5" thickBot="1" x14ac:dyDescent="0.3">
      <c r="D21" s="161"/>
      <c r="E21" s="161"/>
      <c r="G21" s="155" t="s">
        <v>183</v>
      </c>
      <c r="H21" s="155" t="s">
        <v>187</v>
      </c>
    </row>
    <row r="22" spans="1:27" ht="16.5" thickBot="1" x14ac:dyDescent="0.3">
      <c r="C22" s="124" t="s">
        <v>162</v>
      </c>
      <c r="D22" s="162">
        <v>1</v>
      </c>
      <c r="E22" s="163">
        <v>46072</v>
      </c>
      <c r="G22" s="164">
        <v>46072</v>
      </c>
      <c r="H22" s="163">
        <v>46072</v>
      </c>
    </row>
    <row r="23" spans="1:27" x14ac:dyDescent="0.25">
      <c r="C23" s="6" t="s">
        <v>163</v>
      </c>
      <c r="D23" s="5"/>
      <c r="E23" s="5"/>
      <c r="F23" s="5"/>
      <c r="G23" s="5"/>
    </row>
    <row r="24" spans="1:27" x14ac:dyDescent="0.25">
      <c r="D24" s="118" t="s">
        <v>166</v>
      </c>
      <c r="E24" s="143">
        <v>82848.600000000006</v>
      </c>
      <c r="F24" s="76" t="s">
        <v>173</v>
      </c>
    </row>
    <row r="25" spans="1:27" x14ac:dyDescent="0.25">
      <c r="A25" s="160" t="s">
        <v>156</v>
      </c>
      <c r="B25" s="160"/>
      <c r="C25" s="160" t="s">
        <v>164</v>
      </c>
      <c r="D25" s="160" t="s">
        <v>167</v>
      </c>
      <c r="E25" s="160" t="s">
        <v>96</v>
      </c>
      <c r="F25" s="160" t="s">
        <v>174</v>
      </c>
      <c r="G25" s="160"/>
      <c r="H25" s="160"/>
    </row>
    <row r="26" spans="1:27" ht="51" customHeight="1" x14ac:dyDescent="0.25">
      <c r="A26" s="121" t="s">
        <v>157</v>
      </c>
      <c r="B26" s="121" t="s">
        <v>158</v>
      </c>
      <c r="C26" s="160"/>
      <c r="D26" s="160"/>
      <c r="E26" s="160"/>
      <c r="F26" s="121" t="s">
        <v>175</v>
      </c>
      <c r="G26" s="121" t="s">
        <v>184</v>
      </c>
      <c r="H26" s="121" t="s">
        <v>188</v>
      </c>
    </row>
    <row r="27" spans="1:27" x14ac:dyDescent="0.25">
      <c r="A27" s="165">
        <v>1</v>
      </c>
      <c r="B27" s="165">
        <v>2</v>
      </c>
      <c r="C27" s="165">
        <v>3</v>
      </c>
      <c r="D27" s="165">
        <v>4</v>
      </c>
      <c r="E27" s="165">
        <v>5</v>
      </c>
      <c r="F27" s="165">
        <v>6</v>
      </c>
      <c r="G27" s="165">
        <v>7</v>
      </c>
      <c r="H27" s="165">
        <v>8</v>
      </c>
    </row>
    <row r="28" spans="1:27" x14ac:dyDescent="0.25">
      <c r="P28" s="3" t="s">
        <v>40</v>
      </c>
      <c r="AA28" s="3" t="s">
        <v>128</v>
      </c>
    </row>
    <row r="29" spans="1:27" x14ac:dyDescent="0.25">
      <c r="A29" s="124">
        <v>1</v>
      </c>
      <c r="B29" s="76" t="s">
        <v>42</v>
      </c>
      <c r="P29" s="3" t="s">
        <v>41</v>
      </c>
      <c r="AA29" s="3" t="s">
        <v>129</v>
      </c>
    </row>
    <row r="30" spans="1:27" x14ac:dyDescent="0.25">
      <c r="A30" s="175" t="s">
        <v>118</v>
      </c>
      <c r="B30" s="176">
        <v>1</v>
      </c>
      <c r="C30" s="170" t="s">
        <v>45</v>
      </c>
      <c r="D30" s="169"/>
      <c r="E30" s="169" t="s">
        <v>46</v>
      </c>
      <c r="F30" s="183">
        <v>79</v>
      </c>
      <c r="G30" s="183">
        <v>59.4</v>
      </c>
      <c r="H30" s="181">
        <f>ROUND(G30*ROUND(F30,2),2)</f>
        <v>4692.6000000000004</v>
      </c>
      <c r="P30" s="3" t="s">
        <v>44</v>
      </c>
      <c r="AA30" s="3" t="s">
        <v>130</v>
      </c>
    </row>
    <row r="31" spans="1:27" x14ac:dyDescent="0.25">
      <c r="A31" s="177" t="s">
        <v>119</v>
      </c>
      <c r="B31" s="178">
        <v>2</v>
      </c>
      <c r="C31" s="172" t="s">
        <v>49</v>
      </c>
      <c r="D31" s="171"/>
      <c r="E31" s="171" t="s">
        <v>46</v>
      </c>
      <c r="F31" s="184">
        <v>79</v>
      </c>
      <c r="G31" s="184">
        <v>72</v>
      </c>
      <c r="H31" s="52">
        <f>ROUND(G31*ROUND(F31,2),2)</f>
        <v>5688</v>
      </c>
      <c r="P31" s="3" t="s">
        <v>44</v>
      </c>
      <c r="AA31" s="3" t="s">
        <v>131</v>
      </c>
    </row>
    <row r="32" spans="1:27" x14ac:dyDescent="0.25">
      <c r="A32" s="177" t="s">
        <v>120</v>
      </c>
      <c r="B32" s="178">
        <v>3</v>
      </c>
      <c r="C32" s="172" t="s">
        <v>51</v>
      </c>
      <c r="D32" s="171"/>
      <c r="E32" s="171" t="s">
        <v>52</v>
      </c>
      <c r="F32" s="184">
        <v>70</v>
      </c>
      <c r="G32" s="184">
        <v>54</v>
      </c>
      <c r="H32" s="52">
        <f>ROUND(G32*ROUND(F32,2),2)</f>
        <v>3780</v>
      </c>
      <c r="P32" s="3" t="s">
        <v>44</v>
      </c>
      <c r="AA32" s="3" t="s">
        <v>132</v>
      </c>
    </row>
    <row r="33" spans="1:27" ht="31.5" x14ac:dyDescent="0.25">
      <c r="A33" s="177" t="s">
        <v>121</v>
      </c>
      <c r="B33" s="178">
        <v>4</v>
      </c>
      <c r="C33" s="172" t="s">
        <v>55</v>
      </c>
      <c r="D33" s="171"/>
      <c r="E33" s="171" t="s">
        <v>46</v>
      </c>
      <c r="F33" s="184">
        <v>79</v>
      </c>
      <c r="G33" s="184">
        <v>396</v>
      </c>
      <c r="H33" s="52">
        <f>ROUND(G33*ROUND(F33,2),2)</f>
        <v>31284</v>
      </c>
      <c r="P33" s="3" t="s">
        <v>44</v>
      </c>
      <c r="AA33" s="3" t="s">
        <v>133</v>
      </c>
    </row>
    <row r="34" spans="1:27" x14ac:dyDescent="0.25">
      <c r="A34" s="177" t="s">
        <v>122</v>
      </c>
      <c r="B34" s="178">
        <v>5</v>
      </c>
      <c r="C34" s="172" t="s">
        <v>57</v>
      </c>
      <c r="D34" s="171"/>
      <c r="E34" s="171" t="s">
        <v>58</v>
      </c>
      <c r="F34" s="184">
        <v>1</v>
      </c>
      <c r="G34" s="184">
        <v>2700</v>
      </c>
      <c r="H34" s="52">
        <f>ROUND(G34*ROUND(F34,2),2)</f>
        <v>2700</v>
      </c>
      <c r="P34" s="3" t="s">
        <v>44</v>
      </c>
      <c r="AA34" s="3" t="s">
        <v>134</v>
      </c>
    </row>
    <row r="35" spans="1:27" x14ac:dyDescent="0.25">
      <c r="A35" s="179" t="s">
        <v>123</v>
      </c>
      <c r="B35" s="180">
        <v>6</v>
      </c>
      <c r="C35" s="174" t="s">
        <v>60</v>
      </c>
      <c r="D35" s="173"/>
      <c r="E35" s="173" t="s">
        <v>46</v>
      </c>
      <c r="F35" s="185">
        <v>79</v>
      </c>
      <c r="G35" s="185">
        <v>306</v>
      </c>
      <c r="H35" s="182">
        <f>ROUND(G35*ROUND(F35,2),2)</f>
        <v>24174</v>
      </c>
      <c r="P35" s="3" t="s">
        <v>44</v>
      </c>
      <c r="AA35" s="3" t="s">
        <v>135</v>
      </c>
    </row>
    <row r="36" spans="1:27" x14ac:dyDescent="0.25">
      <c r="A36" s="76" t="s">
        <v>112</v>
      </c>
      <c r="B36" s="76"/>
      <c r="C36" s="76"/>
      <c r="D36" s="76"/>
      <c r="E36" s="76"/>
      <c r="F36" s="76"/>
      <c r="G36" s="76"/>
      <c r="H36" s="143">
        <f>SUM(H30:H35)</f>
        <v>72318.600000000006</v>
      </c>
      <c r="P36" s="3" t="s">
        <v>62</v>
      </c>
      <c r="AA36" s="3" t="s">
        <v>136</v>
      </c>
    </row>
    <row r="37" spans="1:27" x14ac:dyDescent="0.25">
      <c r="P37" s="3" t="s">
        <v>40</v>
      </c>
      <c r="AA37" s="3" t="s">
        <v>137</v>
      </c>
    </row>
    <row r="38" spans="1:27" x14ac:dyDescent="0.25">
      <c r="A38" s="124">
        <v>2</v>
      </c>
      <c r="B38" s="76" t="s">
        <v>68</v>
      </c>
      <c r="P38" s="3" t="s">
        <v>41</v>
      </c>
      <c r="AA38" s="3" t="s">
        <v>138</v>
      </c>
    </row>
    <row r="39" spans="1:27" x14ac:dyDescent="0.25">
      <c r="A39" s="175" t="s">
        <v>118</v>
      </c>
      <c r="B39" s="176">
        <v>1</v>
      </c>
      <c r="C39" s="170" t="s">
        <v>69</v>
      </c>
      <c r="D39" s="169"/>
      <c r="E39" s="169" t="s">
        <v>52</v>
      </c>
      <c r="F39" s="183">
        <v>15</v>
      </c>
      <c r="G39" s="183">
        <v>108</v>
      </c>
      <c r="H39" s="181">
        <f>ROUND(G39*ROUND(F39,2),2)</f>
        <v>1620</v>
      </c>
      <c r="P39" s="3" t="s">
        <v>44</v>
      </c>
      <c r="AA39" s="3" t="s">
        <v>139</v>
      </c>
    </row>
    <row r="40" spans="1:27" x14ac:dyDescent="0.25">
      <c r="A40" s="179" t="s">
        <v>119</v>
      </c>
      <c r="B40" s="180">
        <v>2</v>
      </c>
      <c r="C40" s="174" t="s">
        <v>70</v>
      </c>
      <c r="D40" s="173"/>
      <c r="E40" s="173" t="s">
        <v>52</v>
      </c>
      <c r="F40" s="185">
        <v>15</v>
      </c>
      <c r="G40" s="185">
        <v>594</v>
      </c>
      <c r="H40" s="182">
        <f>ROUND(G40*ROUND(F40,2),2)</f>
        <v>8910</v>
      </c>
      <c r="P40" s="3" t="s">
        <v>44</v>
      </c>
      <c r="AA40" s="3" t="s">
        <v>140</v>
      </c>
    </row>
    <row r="41" spans="1:27" x14ac:dyDescent="0.25">
      <c r="A41" s="76" t="s">
        <v>112</v>
      </c>
      <c r="B41" s="76"/>
      <c r="C41" s="76"/>
      <c r="D41" s="76"/>
      <c r="E41" s="76"/>
      <c r="F41" s="76"/>
      <c r="G41" s="76"/>
      <c r="H41" s="143">
        <f>SUM(H39:H40)</f>
        <v>10530</v>
      </c>
      <c r="P41" s="3" t="s">
        <v>62</v>
      </c>
      <c r="AA41" s="3" t="s">
        <v>141</v>
      </c>
    </row>
    <row r="42" spans="1:27" x14ac:dyDescent="0.25">
      <c r="P42" s="3" t="s">
        <v>40</v>
      </c>
      <c r="AA42" s="3" t="s">
        <v>142</v>
      </c>
    </row>
    <row r="43" spans="1:27" x14ac:dyDescent="0.25">
      <c r="A43" s="76" t="s">
        <v>113</v>
      </c>
      <c r="B43" s="76"/>
      <c r="C43" s="76"/>
      <c r="D43" s="76"/>
      <c r="E43" s="76"/>
      <c r="F43" s="76"/>
      <c r="G43" s="76"/>
      <c r="H43" s="143">
        <f>SUMIF(P28:P42,"irazd",H28:H42)</f>
        <v>82848.600000000006</v>
      </c>
      <c r="P43" s="3" t="s">
        <v>81</v>
      </c>
      <c r="AA43" s="3" t="s">
        <v>143</v>
      </c>
    </row>
    <row r="44" spans="1:27" hidden="1" x14ac:dyDescent="0.25">
      <c r="A44" s="74" t="s">
        <v>65</v>
      </c>
      <c r="B44" s="74"/>
      <c r="C44" s="74"/>
      <c r="D44" s="74"/>
      <c r="E44" s="74"/>
      <c r="F44" s="74"/>
      <c r="G44" s="74"/>
      <c r="H44" s="75">
        <f>SUMIF(P28:P42,"pr",H28:H42)</f>
        <v>82848.600000000006</v>
      </c>
      <c r="P44" s="3" t="s">
        <v>73</v>
      </c>
      <c r="AA44" s="3" t="s">
        <v>144</v>
      </c>
    </row>
    <row r="45" spans="1:27" hidden="1" x14ac:dyDescent="0.25">
      <c r="A45" s="74" t="s">
        <v>114</v>
      </c>
      <c r="B45" s="74"/>
      <c r="C45" s="74"/>
      <c r="D45" s="74"/>
      <c r="E45" s="74"/>
      <c r="F45" s="74"/>
      <c r="G45" s="74"/>
      <c r="H45" s="75">
        <f>SUMIF(P28:P42,"mat",H28:H42)+SUMIF(P28:P42,"meh",H28:H42)</f>
        <v>0</v>
      </c>
      <c r="P45" s="3" t="s">
        <v>74</v>
      </c>
      <c r="AA45" s="3" t="s">
        <v>145</v>
      </c>
    </row>
    <row r="46" spans="1:27" x14ac:dyDescent="0.25">
      <c r="P46" s="3" t="s">
        <v>82</v>
      </c>
      <c r="AA46" s="3" t="s">
        <v>146</v>
      </c>
    </row>
    <row r="47" spans="1:27" x14ac:dyDescent="0.25">
      <c r="A47" s="1" t="s">
        <v>84</v>
      </c>
      <c r="D47" s="142"/>
      <c r="H47" s="64" t="s">
        <v>39</v>
      </c>
      <c r="P47" s="3" t="s">
        <v>83</v>
      </c>
      <c r="AA47" s="3" t="s">
        <v>147</v>
      </c>
    </row>
    <row r="48" spans="1:27" x14ac:dyDescent="0.25">
      <c r="A48" s="76" t="s">
        <v>189</v>
      </c>
      <c r="B48" s="76"/>
      <c r="C48" s="76"/>
      <c r="D48" s="76"/>
      <c r="E48" s="76"/>
      <c r="F48" s="76"/>
      <c r="G48" s="76"/>
      <c r="H48" s="168">
        <f>ItogoPoRazdelam</f>
        <v>82848.600000000006</v>
      </c>
      <c r="P48" s="3" t="s">
        <v>85</v>
      </c>
      <c r="AA48" s="3" t="s">
        <v>148</v>
      </c>
    </row>
    <row r="49" spans="2:3" ht="54" customHeight="1" x14ac:dyDescent="0.25">
      <c r="B49" s="124" t="s">
        <v>190</v>
      </c>
      <c r="C49" s="1" t="s">
        <v>199</v>
      </c>
    </row>
    <row r="50" spans="2:3" x14ac:dyDescent="0.25">
      <c r="C50" s="126" t="s">
        <v>191</v>
      </c>
    </row>
    <row r="51" spans="2:3" ht="54" customHeight="1" x14ac:dyDescent="0.25">
      <c r="B51" s="124" t="s">
        <v>192</v>
      </c>
      <c r="C51" s="1" t="s">
        <v>196</v>
      </c>
    </row>
    <row r="52" spans="2:3" x14ac:dyDescent="0.25">
      <c r="C52" s="126" t="s">
        <v>191</v>
      </c>
    </row>
  </sheetData>
  <mergeCells count="23">
    <mergeCell ref="D20:D21"/>
    <mergeCell ref="E20:E21"/>
    <mergeCell ref="G20:H20"/>
    <mergeCell ref="A25:B25"/>
    <mergeCell ref="C25:C26"/>
    <mergeCell ref="D25:D26"/>
    <mergeCell ref="E25:E26"/>
    <mergeCell ref="F25:H25"/>
    <mergeCell ref="C23:G23"/>
    <mergeCell ref="C12:F12"/>
    <mergeCell ref="C13:F13"/>
    <mergeCell ref="C14:F14"/>
    <mergeCell ref="C15:D15"/>
    <mergeCell ref="H7:H8"/>
    <mergeCell ref="H9:H10"/>
    <mergeCell ref="H11:H12"/>
    <mergeCell ref="H13:H14"/>
    <mergeCell ref="C6:F6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scale="60" fitToHeight="0" orientation="portrait" horizontalDpi="300" verticalDpi="300" r:id="rId1"/>
  <headerFooter>
    <oddFooter>&amp;C&amp;P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602C-1C17-466A-A731-56CDBC4E49E5}">
  <sheetPr>
    <tabColor theme="8" tint="-0.249977111117893"/>
    <pageSetUpPr fitToPage="1"/>
  </sheetPr>
  <dimension ref="A1:HQ27"/>
  <sheetViews>
    <sheetView showGridLines="0" tabSelected="1" workbookViewId="0">
      <selection activeCell="E4" sqref="E4"/>
    </sheetView>
  </sheetViews>
  <sheetFormatPr defaultRowHeight="15.75" x14ac:dyDescent="0.25"/>
  <cols>
    <col min="1" max="1" width="6.85546875" style="1" customWidth="1"/>
    <col min="2" max="2" width="11.5703125" style="1" customWidth="1"/>
    <col min="3" max="3" width="59.5703125" style="1" customWidth="1"/>
    <col min="4" max="4" width="8.85546875" style="1" customWidth="1"/>
    <col min="5" max="7" width="13.7109375" style="1" customWidth="1"/>
    <col min="8" max="8" width="11.28515625" style="1" customWidth="1"/>
    <col min="9" max="199" width="9.140625" style="1"/>
    <col min="200" max="211" width="9.140625" style="367"/>
    <col min="212" max="212" width="11.28515625" style="367" bestFit="1" customWidth="1"/>
    <col min="213" max="225" width="9.140625" style="367"/>
    <col min="226" max="16384" width="9.140625" style="1"/>
  </cols>
  <sheetData>
    <row r="1" spans="1:215" ht="24.75" customHeight="1" thickBot="1" x14ac:dyDescent="0.3">
      <c r="A1" s="363" t="s">
        <v>102</v>
      </c>
      <c r="B1" s="364"/>
      <c r="C1" s="365"/>
      <c r="D1" s="366"/>
      <c r="E1" s="366"/>
      <c r="F1" s="366"/>
      <c r="G1" s="364" t="s">
        <v>318</v>
      </c>
      <c r="GR1" s="367" t="s">
        <v>319</v>
      </c>
      <c r="GS1" s="3" t="s">
        <v>337</v>
      </c>
      <c r="HB1" s="367" t="s">
        <v>101</v>
      </c>
    </row>
    <row r="2" spans="1:215" ht="21.75" customHeight="1" thickTop="1" x14ac:dyDescent="0.25">
      <c r="A2" s="368" t="s">
        <v>320</v>
      </c>
      <c r="B2" s="369"/>
      <c r="C2" s="370"/>
      <c r="D2" s="370"/>
      <c r="E2" s="370"/>
      <c r="F2" s="370"/>
      <c r="G2" s="370"/>
    </row>
    <row r="3" spans="1:215" ht="21.75" customHeight="1" x14ac:dyDescent="0.25">
      <c r="A3" s="368"/>
      <c r="B3" s="369"/>
      <c r="C3" s="370"/>
      <c r="D3" s="370"/>
      <c r="E3" s="370"/>
      <c r="F3" s="370"/>
      <c r="G3" s="370"/>
    </row>
    <row r="4" spans="1:215" ht="22.5" x14ac:dyDescent="0.25">
      <c r="A4" s="369"/>
      <c r="B4" s="369"/>
      <c r="C4" s="371" t="s">
        <v>321</v>
      </c>
      <c r="D4" s="371"/>
      <c r="E4" s="372">
        <v>1</v>
      </c>
      <c r="F4" s="373"/>
      <c r="G4" s="373"/>
      <c r="J4"/>
      <c r="GR4" s="367" t="s">
        <v>322</v>
      </c>
    </row>
    <row r="5" spans="1:215" ht="15" customHeight="1" x14ac:dyDescent="0.25">
      <c r="A5" s="374" t="s">
        <v>323</v>
      </c>
      <c r="B5" s="374"/>
      <c r="C5" s="374"/>
      <c r="D5" s="374"/>
      <c r="E5" s="374"/>
      <c r="F5" s="374"/>
      <c r="G5" s="374"/>
    </row>
    <row r="6" spans="1:215" ht="15" customHeight="1" x14ac:dyDescent="0.25">
      <c r="A6" s="375"/>
      <c r="B6" s="375"/>
      <c r="C6" s="375"/>
      <c r="D6" s="375"/>
      <c r="E6" s="375"/>
      <c r="F6" s="375"/>
      <c r="G6" s="375"/>
    </row>
    <row r="7" spans="1:215" x14ac:dyDescent="0.25">
      <c r="A7" s="376"/>
      <c r="B7" s="377" t="s">
        <v>324</v>
      </c>
      <c r="C7" s="368" t="s">
        <v>339</v>
      </c>
      <c r="E7" s="124" t="s">
        <v>325</v>
      </c>
      <c r="F7" s="1" t="s">
        <v>340</v>
      </c>
      <c r="GT7" s="378"/>
      <c r="HB7" s="367" t="s">
        <v>150</v>
      </c>
      <c r="HC7" s="367">
        <v>1</v>
      </c>
      <c r="HD7" s="378">
        <v>46072</v>
      </c>
      <c r="HE7" s="378">
        <v>46072</v>
      </c>
      <c r="HF7" s="378">
        <v>46072</v>
      </c>
      <c r="HG7" s="367" t="s">
        <v>2</v>
      </c>
    </row>
    <row r="8" spans="1:215" x14ac:dyDescent="0.25">
      <c r="A8" s="379"/>
      <c r="B8" s="377" t="s">
        <v>326</v>
      </c>
      <c r="C8" s="380" t="s">
        <v>338</v>
      </c>
      <c r="D8" s="380"/>
      <c r="E8" s="380"/>
      <c r="F8" s="380"/>
      <c r="G8" s="380"/>
      <c r="GS8" s="378"/>
      <c r="HC8" s="381" t="s">
        <v>193</v>
      </c>
      <c r="HD8" s="378">
        <v>46072</v>
      </c>
      <c r="HE8" s="367" t="s">
        <v>38</v>
      </c>
    </row>
    <row r="9" spans="1:215" x14ac:dyDescent="0.25">
      <c r="A9" s="376"/>
      <c r="B9" s="377" t="s">
        <v>327</v>
      </c>
      <c r="C9" s="368" t="s">
        <v>98</v>
      </c>
      <c r="HB9" s="367" t="s">
        <v>97</v>
      </c>
    </row>
    <row r="10" spans="1:215" x14ac:dyDescent="0.25">
      <c r="A10" s="379"/>
      <c r="B10" s="379"/>
      <c r="C10" s="379"/>
    </row>
    <row r="11" spans="1:215" x14ac:dyDescent="0.25">
      <c r="A11" s="379"/>
      <c r="B11" s="118" t="s">
        <v>328</v>
      </c>
      <c r="C11" s="382">
        <v>46072</v>
      </c>
      <c r="E11" s="118"/>
    </row>
    <row r="12" spans="1:215" ht="47.25" x14ac:dyDescent="0.25">
      <c r="A12" s="383" t="s">
        <v>329</v>
      </c>
      <c r="B12" s="383" t="s">
        <v>330</v>
      </c>
      <c r="C12" s="383" t="s">
        <v>331</v>
      </c>
      <c r="D12" s="383" t="s">
        <v>96</v>
      </c>
      <c r="E12" s="383" t="s">
        <v>332</v>
      </c>
      <c r="F12" s="383" t="s">
        <v>333</v>
      </c>
      <c r="G12" s="383" t="s">
        <v>334</v>
      </c>
    </row>
    <row r="13" spans="1:215" x14ac:dyDescent="0.25">
      <c r="A13" s="384">
        <v>1</v>
      </c>
      <c r="B13" s="384">
        <v>2</v>
      </c>
      <c r="C13" s="384">
        <v>3</v>
      </c>
      <c r="D13" s="384">
        <v>4</v>
      </c>
      <c r="E13" s="384">
        <v>5</v>
      </c>
      <c r="F13" s="384">
        <v>6</v>
      </c>
      <c r="G13" s="384">
        <v>7</v>
      </c>
    </row>
    <row r="14" spans="1:215" x14ac:dyDescent="0.25">
      <c r="A14" s="385">
        <v>1</v>
      </c>
      <c r="B14" s="386"/>
      <c r="C14" s="387"/>
      <c r="D14" s="388"/>
      <c r="E14" s="389"/>
      <c r="F14" s="389"/>
      <c r="G14" s="390">
        <f>E14-F14</f>
        <v>0</v>
      </c>
    </row>
    <row r="15" spans="1:215" x14ac:dyDescent="0.25">
      <c r="A15" s="391">
        <v>2</v>
      </c>
      <c r="B15" s="50"/>
      <c r="C15" s="63"/>
      <c r="D15" s="49"/>
      <c r="E15" s="392"/>
      <c r="F15" s="392"/>
      <c r="G15" s="393">
        <f>E15-F15</f>
        <v>0</v>
      </c>
    </row>
    <row r="16" spans="1:215" x14ac:dyDescent="0.25">
      <c r="A16" s="394">
        <v>3</v>
      </c>
      <c r="B16" s="395"/>
      <c r="C16" s="396"/>
      <c r="D16" s="397"/>
      <c r="E16" s="398"/>
      <c r="F16" s="398"/>
      <c r="G16" s="399">
        <f>E16-F16</f>
        <v>0</v>
      </c>
    </row>
    <row r="17" spans="1:7" x14ac:dyDescent="0.25">
      <c r="A17" s="370"/>
      <c r="B17" s="370"/>
      <c r="E17" s="400"/>
      <c r="F17" s="400"/>
      <c r="G17" s="400"/>
    </row>
    <row r="18" spans="1:7" x14ac:dyDescent="0.25">
      <c r="A18" s="401" t="s">
        <v>341</v>
      </c>
      <c r="B18" s="402"/>
      <c r="E18" s="400"/>
      <c r="F18" s="400"/>
      <c r="G18" s="400"/>
    </row>
    <row r="19" spans="1:7" x14ac:dyDescent="0.25">
      <c r="A19" s="401"/>
      <c r="B19" s="402"/>
      <c r="E19" s="400"/>
      <c r="F19" s="400"/>
      <c r="G19" s="400"/>
    </row>
    <row r="20" spans="1:7" x14ac:dyDescent="0.25">
      <c r="A20" s="401"/>
      <c r="B20" s="402"/>
      <c r="E20" s="400"/>
      <c r="F20" s="400"/>
      <c r="G20" s="400"/>
    </row>
    <row r="21" spans="1:7" x14ac:dyDescent="0.25">
      <c r="A21" s="401"/>
      <c r="B21" s="402"/>
      <c r="E21" s="400"/>
      <c r="F21" s="145">
        <f>DateDoc</f>
        <v>46072</v>
      </c>
      <c r="G21" s="400" t="s">
        <v>335</v>
      </c>
    </row>
    <row r="22" spans="1:7" x14ac:dyDescent="0.25">
      <c r="A22" s="401"/>
      <c r="B22" s="402"/>
      <c r="E22" s="400"/>
      <c r="F22" s="400"/>
      <c r="G22" s="400"/>
    </row>
    <row r="23" spans="1:7" x14ac:dyDescent="0.25">
      <c r="A23" s="370"/>
      <c r="B23" s="370"/>
      <c r="E23" s="400"/>
      <c r="F23" s="400"/>
      <c r="G23" s="400"/>
    </row>
    <row r="24" spans="1:7" x14ac:dyDescent="0.25">
      <c r="A24" s="369"/>
      <c r="B24" s="369"/>
      <c r="C24" s="118" t="s">
        <v>320</v>
      </c>
      <c r="D24" s="1" t="s">
        <v>336</v>
      </c>
    </row>
    <row r="25" spans="1:7" ht="22.5" customHeight="1" x14ac:dyDescent="0.25">
      <c r="A25" s="379"/>
      <c r="B25" s="379"/>
    </row>
    <row r="26" spans="1:7" x14ac:dyDescent="0.25">
      <c r="A26" s="379"/>
      <c r="B26" s="379"/>
    </row>
    <row r="27" spans="1:7" x14ac:dyDescent="0.25">
      <c r="A27" s="370"/>
      <c r="B27" s="370"/>
    </row>
  </sheetData>
  <mergeCells count="3">
    <mergeCell ref="C4:D4"/>
    <mergeCell ref="A5:G5"/>
    <mergeCell ref="C8:G8"/>
  </mergeCells>
  <pageMargins left="0.70866141732283472" right="0.70866141732283472" top="0.74803149606299213" bottom="0.74803149606299213" header="0.31496062992125984" footer="0.31496062992125984"/>
  <pageSetup paperSize="9" scale="69" fitToHeight="0" orientation="portrait" horizontalDpi="180" verticalDpi="180" r:id="rId1"/>
  <headerFooter>
    <oddFooter>&amp;C&amp;P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833-1C75-401E-AFD3-9DE8B1ECE249}">
  <sheetPr>
    <tabColor rgb="FF3366FF"/>
    <pageSetUpPr fitToPage="1"/>
  </sheetPr>
  <dimension ref="A1:GW49"/>
  <sheetViews>
    <sheetView showGridLines="0" zoomScale="120" zoomScaleNormal="120" workbookViewId="0"/>
  </sheetViews>
  <sheetFormatPr defaultRowHeight="12.75" x14ac:dyDescent="0.2"/>
  <cols>
    <col min="1" max="1" width="1.7109375" style="2" customWidth="1"/>
    <col min="2" max="65" width="1.140625" style="2" customWidth="1"/>
    <col min="66" max="80" width="1.42578125" style="2" customWidth="1"/>
    <col min="81" max="157" width="9.140625" style="2"/>
    <col min="158" max="158" width="58.5703125" style="2" customWidth="1"/>
    <col min="159" max="159" width="33.85546875" style="2" customWidth="1"/>
    <col min="160" max="16384" width="9.140625" style="2"/>
  </cols>
  <sheetData>
    <row r="1" spans="1:205" ht="10.5" customHeight="1" x14ac:dyDescent="0.2">
      <c r="CB1" s="186" t="s">
        <v>201</v>
      </c>
      <c r="GR1" s="4" t="s">
        <v>222</v>
      </c>
      <c r="GS1" s="245" t="s">
        <v>223</v>
      </c>
      <c r="GW1" s="4" t="s">
        <v>39</v>
      </c>
    </row>
    <row r="2" spans="1:205" ht="10.5" customHeight="1" x14ac:dyDescent="0.2">
      <c r="CB2" s="186" t="s">
        <v>170</v>
      </c>
      <c r="GR2" s="246"/>
    </row>
    <row r="3" spans="1:205" ht="10.5" customHeight="1" x14ac:dyDescent="0.2">
      <c r="CB3" s="186" t="s">
        <v>202</v>
      </c>
      <c r="GR3" s="2" t="b">
        <v>1</v>
      </c>
      <c r="GS3" s="244" t="s">
        <v>1</v>
      </c>
      <c r="GT3" s="2" t="b">
        <v>0</v>
      </c>
    </row>
    <row r="4" spans="1:205" x14ac:dyDescent="0.2">
      <c r="GR4" s="247">
        <v>82848.600000000006</v>
      </c>
    </row>
    <row r="5" spans="1:205" ht="13.5" thickBot="1" x14ac:dyDescent="0.25">
      <c r="BN5" s="194" t="s">
        <v>185</v>
      </c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GR5" s="2" t="s">
        <v>38</v>
      </c>
    </row>
    <row r="6" spans="1:205" x14ac:dyDescent="0.2">
      <c r="BL6" s="205" t="s">
        <v>176</v>
      </c>
      <c r="BN6" s="197" t="s">
        <v>203</v>
      </c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201"/>
      <c r="GR6" s="248" t="s">
        <v>107</v>
      </c>
    </row>
    <row r="7" spans="1:205" x14ac:dyDescent="0.2">
      <c r="A7" s="211" t="s">
        <v>151</v>
      </c>
      <c r="I7" s="208" t="s">
        <v>224</v>
      </c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L7" s="205" t="s">
        <v>177</v>
      </c>
      <c r="BN7" s="198" t="s">
        <v>195</v>
      </c>
      <c r="BO7" s="188"/>
      <c r="BP7" s="188"/>
      <c r="BQ7" s="188"/>
      <c r="BR7" s="188"/>
      <c r="BS7" s="188"/>
      <c r="BT7" s="188"/>
      <c r="BU7" s="188"/>
      <c r="BV7" s="188"/>
      <c r="BW7" s="188"/>
      <c r="BX7" s="188"/>
      <c r="BY7" s="188"/>
      <c r="BZ7" s="188"/>
      <c r="CA7" s="188"/>
      <c r="CB7" s="202"/>
      <c r="FB7" s="210" t="str">
        <f>I7</f>
        <v>ЗАО "Заказчик", г. Москва, ул. Самая длинная, д.54, 8 (495) 123-45-67</v>
      </c>
      <c r="GR7" s="2" t="s">
        <v>97</v>
      </c>
    </row>
    <row r="8" spans="1:205" ht="10.5" customHeight="1" x14ac:dyDescent="0.2">
      <c r="I8" s="209" t="s">
        <v>159</v>
      </c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L8" s="205"/>
      <c r="BN8" s="198" t="s">
        <v>195</v>
      </c>
      <c r="BO8" s="188"/>
      <c r="BP8" s="188"/>
      <c r="BQ8" s="188"/>
      <c r="BR8" s="188"/>
      <c r="BS8" s="188"/>
      <c r="BT8" s="188"/>
      <c r="BU8" s="188"/>
      <c r="BV8" s="188"/>
      <c r="BW8" s="188"/>
      <c r="BX8" s="188"/>
      <c r="BY8" s="188"/>
      <c r="BZ8" s="188"/>
      <c r="CA8" s="188"/>
      <c r="CB8" s="202"/>
      <c r="GR8" s="2" t="s">
        <v>97</v>
      </c>
    </row>
    <row r="9" spans="1:205" x14ac:dyDescent="0.2">
      <c r="A9" s="211" t="s">
        <v>152</v>
      </c>
      <c r="I9" s="208" t="s">
        <v>224</v>
      </c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L9" s="205" t="s">
        <v>177</v>
      </c>
      <c r="BN9" s="19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202"/>
      <c r="FB9" s="210" t="str">
        <f>I9</f>
        <v>ЗАО "Заказчик", г. Москва, ул. Самая длинная, д.54, 8 (495) 123-45-67</v>
      </c>
      <c r="GR9" s="2" t="s">
        <v>101</v>
      </c>
    </row>
    <row r="10" spans="1:205" ht="10.5" customHeight="1" x14ac:dyDescent="0.2">
      <c r="I10" s="209" t="s">
        <v>159</v>
      </c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L10" s="205"/>
      <c r="BN10" s="198" t="s">
        <v>198</v>
      </c>
      <c r="BO10" s="188"/>
      <c r="BP10" s="188"/>
      <c r="BQ10" s="188"/>
      <c r="BR10" s="188"/>
      <c r="BS10" s="188"/>
      <c r="BT10" s="188"/>
      <c r="BU10" s="188"/>
      <c r="BV10" s="188"/>
      <c r="BW10" s="188"/>
      <c r="BX10" s="188"/>
      <c r="BY10" s="188"/>
      <c r="BZ10" s="188"/>
      <c r="CA10" s="188"/>
      <c r="CB10" s="202"/>
    </row>
    <row r="11" spans="1:205" ht="25.5" x14ac:dyDescent="0.2">
      <c r="A11" s="211" t="s">
        <v>153</v>
      </c>
      <c r="I11" s="208" t="s">
        <v>226</v>
      </c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L11" s="205" t="s">
        <v>177</v>
      </c>
      <c r="BN11" s="19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8"/>
      <c r="CA11" s="188"/>
      <c r="CB11" s="202"/>
      <c r="FB11" s="210" t="str">
        <f>I11</f>
        <v>ООО РСК ДОММАСТЕР, 	453261, Башкортостан респ., г. Салават, ул. Уфимская, д. 37 к. А , 89174806003</v>
      </c>
    </row>
    <row r="12" spans="1:205" ht="10.5" customHeight="1" x14ac:dyDescent="0.2">
      <c r="I12" s="209" t="s">
        <v>159</v>
      </c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L12" s="205"/>
      <c r="BN12" s="19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88"/>
      <c r="CB12" s="202"/>
    </row>
    <row r="13" spans="1:205" x14ac:dyDescent="0.2">
      <c r="A13" s="211" t="s">
        <v>154</v>
      </c>
      <c r="I13" s="208" t="s">
        <v>200</v>
      </c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L13" s="205"/>
      <c r="BN13" s="19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88"/>
      <c r="CA13" s="188"/>
      <c r="CB13" s="202"/>
      <c r="FB13" s="210" t="str">
        <f>I13</f>
        <v>Ремонтно отделочные работы, г. Москва, ул. Самая длинная, д.54</v>
      </c>
    </row>
    <row r="14" spans="1:205" ht="10.5" customHeight="1" x14ac:dyDescent="0.2">
      <c r="I14" s="209" t="s">
        <v>160</v>
      </c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L14" s="205"/>
      <c r="BN14" s="198"/>
      <c r="BO14" s="188"/>
      <c r="BP14" s="188"/>
      <c r="BQ14" s="188"/>
      <c r="BR14" s="188"/>
      <c r="BS14" s="188"/>
      <c r="BT14" s="188"/>
      <c r="BU14" s="188"/>
      <c r="BV14" s="188"/>
      <c r="BW14" s="188"/>
      <c r="BX14" s="188"/>
      <c r="BY14" s="188"/>
      <c r="BZ14" s="188"/>
      <c r="CA14" s="188"/>
      <c r="CB14" s="202"/>
    </row>
    <row r="15" spans="1:205" x14ac:dyDescent="0.2">
      <c r="BL15" s="205" t="s">
        <v>204</v>
      </c>
      <c r="BN15" s="198"/>
      <c r="BO15" s="188"/>
      <c r="BP15" s="188"/>
      <c r="BQ15" s="188"/>
      <c r="BR15" s="188"/>
      <c r="BS15" s="188"/>
      <c r="BT15" s="188"/>
      <c r="BU15" s="188"/>
      <c r="BV15" s="188"/>
      <c r="BW15" s="188"/>
      <c r="BX15" s="188"/>
      <c r="BY15" s="188"/>
      <c r="BZ15" s="188"/>
      <c r="CA15" s="188"/>
      <c r="CB15" s="202"/>
    </row>
    <row r="16" spans="1:205" x14ac:dyDescent="0.2">
      <c r="BF16" s="205" t="s">
        <v>172</v>
      </c>
      <c r="BH16" s="192"/>
      <c r="BI16" s="190"/>
      <c r="BJ16" s="190"/>
      <c r="BK16" s="190"/>
      <c r="BL16" s="206" t="s">
        <v>179</v>
      </c>
      <c r="BM16" s="190"/>
      <c r="BN16" s="198" t="s">
        <v>193</v>
      </c>
      <c r="BO16" s="188"/>
      <c r="BP16" s="188"/>
      <c r="BQ16" s="188"/>
      <c r="BR16" s="188"/>
      <c r="BS16" s="188"/>
      <c r="BT16" s="188"/>
      <c r="BU16" s="188"/>
      <c r="BV16" s="188"/>
      <c r="BW16" s="188"/>
      <c r="BX16" s="188"/>
      <c r="BY16" s="188"/>
      <c r="BZ16" s="188"/>
      <c r="CA16" s="188"/>
      <c r="CB16" s="202"/>
    </row>
    <row r="17" spans="1:80" x14ac:dyDescent="0.2">
      <c r="BH17" s="193"/>
      <c r="BI17" s="191"/>
      <c r="BJ17" s="191"/>
      <c r="BK17" s="191"/>
      <c r="BL17" s="207" t="s">
        <v>180</v>
      </c>
      <c r="BM17" s="191"/>
      <c r="BN17" s="199">
        <v>46072</v>
      </c>
      <c r="BO17" s="189"/>
      <c r="BP17" s="189"/>
      <c r="BQ17" s="189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203"/>
    </row>
    <row r="18" spans="1:80" ht="13.5" thickBot="1" x14ac:dyDescent="0.25">
      <c r="BL18" s="205" t="s">
        <v>181</v>
      </c>
      <c r="BN18" s="200"/>
      <c r="BO18" s="196"/>
      <c r="BP18" s="196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  <c r="CB18" s="204"/>
    </row>
    <row r="21" spans="1:80" ht="14.45" customHeight="1" x14ac:dyDescent="0.2">
      <c r="AR21" s="212" t="s">
        <v>165</v>
      </c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 t="s">
        <v>168</v>
      </c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O21" s="212" t="s">
        <v>205</v>
      </c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</row>
    <row r="22" spans="1:80" ht="14.45" customHeight="1" thickBot="1" x14ac:dyDescent="0.25"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O22" s="213" t="s">
        <v>183</v>
      </c>
      <c r="BP22" s="213"/>
      <c r="BQ22" s="213"/>
      <c r="BR22" s="213"/>
      <c r="BS22" s="213"/>
      <c r="BT22" s="213"/>
      <c r="BU22" s="213"/>
      <c r="BV22" s="213" t="s">
        <v>187</v>
      </c>
      <c r="BW22" s="213"/>
      <c r="BX22" s="213"/>
      <c r="BY22" s="213"/>
      <c r="BZ22" s="213"/>
      <c r="CA22" s="213"/>
      <c r="CB22" s="213"/>
    </row>
    <row r="23" spans="1:80" ht="14.45" customHeight="1" thickBot="1" x14ac:dyDescent="0.25">
      <c r="AO23" s="219" t="s">
        <v>206</v>
      </c>
      <c r="AR23" s="215">
        <v>1</v>
      </c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7">
        <v>46072</v>
      </c>
      <c r="BD23" s="214"/>
      <c r="BE23" s="214"/>
      <c r="BF23" s="214"/>
      <c r="BG23" s="214"/>
      <c r="BH23" s="214"/>
      <c r="BI23" s="214"/>
      <c r="BJ23" s="214"/>
      <c r="BK23" s="214"/>
      <c r="BL23" s="214"/>
      <c r="BM23" s="216"/>
      <c r="BO23" s="218">
        <v>46072</v>
      </c>
      <c r="BP23" s="214"/>
      <c r="BQ23" s="214"/>
      <c r="BR23" s="214"/>
      <c r="BS23" s="214"/>
      <c r="BT23" s="214"/>
      <c r="BU23" s="214"/>
      <c r="BV23" s="217">
        <v>46072</v>
      </c>
      <c r="BW23" s="214"/>
      <c r="BX23" s="214"/>
      <c r="BY23" s="214"/>
      <c r="BZ23" s="214"/>
      <c r="CA23" s="214"/>
      <c r="CB23" s="216"/>
    </row>
    <row r="24" spans="1:80" ht="16.5" customHeight="1" x14ac:dyDescent="0.2">
      <c r="A24" s="220" t="s">
        <v>207</v>
      </c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220"/>
      <c r="BL24" s="220"/>
      <c r="BM24" s="220"/>
      <c r="BN24" s="220"/>
      <c r="BO24" s="220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7" spans="1:80" ht="16.5" customHeight="1" x14ac:dyDescent="0.2">
      <c r="A27" s="212" t="s">
        <v>208</v>
      </c>
      <c r="B27" s="212"/>
      <c r="C27" s="212"/>
      <c r="D27" s="212"/>
      <c r="E27" s="212"/>
      <c r="F27" s="212"/>
      <c r="G27" s="212"/>
      <c r="H27" s="212" t="s">
        <v>209</v>
      </c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 t="s">
        <v>185</v>
      </c>
      <c r="AM27" s="212"/>
      <c r="AN27" s="212"/>
      <c r="AO27" s="212"/>
      <c r="AP27" s="212" t="s">
        <v>210</v>
      </c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</row>
    <row r="28" spans="1:80" ht="21" customHeight="1" x14ac:dyDescent="0.2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 t="s">
        <v>211</v>
      </c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 t="s">
        <v>212</v>
      </c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 t="s">
        <v>213</v>
      </c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</row>
    <row r="29" spans="1:80" ht="21" customHeight="1" x14ac:dyDescent="0.2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</row>
    <row r="30" spans="1:80" ht="14.45" customHeight="1" thickBot="1" x14ac:dyDescent="0.25">
      <c r="A30" s="212">
        <v>1</v>
      </c>
      <c r="B30" s="212"/>
      <c r="C30" s="212"/>
      <c r="D30" s="212"/>
      <c r="E30" s="212"/>
      <c r="F30" s="212"/>
      <c r="G30" s="212"/>
      <c r="H30" s="212">
        <v>2</v>
      </c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3">
        <v>3</v>
      </c>
      <c r="AM30" s="213"/>
      <c r="AN30" s="213"/>
      <c r="AO30" s="213"/>
      <c r="AP30" s="213">
        <v>4</v>
      </c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>
        <v>5</v>
      </c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>
        <v>6</v>
      </c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</row>
    <row r="31" spans="1:80" x14ac:dyDescent="0.2">
      <c r="A31" s="212"/>
      <c r="B31" s="212"/>
      <c r="C31" s="212"/>
      <c r="D31" s="212"/>
      <c r="E31" s="212"/>
      <c r="F31" s="212"/>
      <c r="G31" s="212"/>
      <c r="H31" s="223" t="s">
        <v>214</v>
      </c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34"/>
      <c r="AM31" s="230"/>
      <c r="AN31" s="230"/>
      <c r="AO31" s="230"/>
      <c r="AP31" s="231">
        <f>SUM(AP34:BB34)</f>
        <v>82848.600000000006</v>
      </c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>
        <f>SUM(BC34:BO34)</f>
        <v>82848.600000000006</v>
      </c>
      <c r="BD31" s="231"/>
      <c r="BE31" s="231"/>
      <c r="BF31" s="231"/>
      <c r="BG31" s="231"/>
      <c r="BH31" s="231"/>
      <c r="BI31" s="231"/>
      <c r="BJ31" s="231"/>
      <c r="BK31" s="231"/>
      <c r="BL31" s="231"/>
      <c r="BM31" s="231"/>
      <c r="BN31" s="231"/>
      <c r="BO31" s="231"/>
      <c r="BP31" s="231">
        <f>SUM(BP34:CB34)</f>
        <v>82848.600000000006</v>
      </c>
      <c r="BQ31" s="231"/>
      <c r="BR31" s="231"/>
      <c r="BS31" s="231"/>
      <c r="BT31" s="231"/>
      <c r="BU31" s="231"/>
      <c r="BV31" s="231"/>
      <c r="BW31" s="231"/>
      <c r="BX31" s="231"/>
      <c r="BY31" s="231"/>
      <c r="BZ31" s="231"/>
      <c r="CA31" s="231"/>
      <c r="CB31" s="238"/>
    </row>
    <row r="32" spans="1:80" x14ac:dyDescent="0.2">
      <c r="A32" s="212"/>
      <c r="B32" s="212"/>
      <c r="C32" s="212"/>
      <c r="D32" s="212"/>
      <c r="E32" s="212"/>
      <c r="F32" s="212"/>
      <c r="G32" s="212"/>
      <c r="H32" s="225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35"/>
      <c r="AM32" s="212"/>
      <c r="AN32" s="212"/>
      <c r="AO32" s="21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39"/>
    </row>
    <row r="33" spans="1:159" x14ac:dyDescent="0.2">
      <c r="A33" s="227"/>
      <c r="B33" s="227"/>
      <c r="C33" s="227"/>
      <c r="D33" s="227"/>
      <c r="E33" s="227"/>
      <c r="F33" s="227"/>
      <c r="G33" s="227"/>
      <c r="H33" s="228" t="s">
        <v>215</v>
      </c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36"/>
      <c r="AM33" s="227"/>
      <c r="AN33" s="227"/>
      <c r="AO33" s="227"/>
      <c r="AP33" s="221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  <c r="BC33" s="221"/>
      <c r="BD33" s="227"/>
      <c r="BE33" s="227"/>
      <c r="BF33" s="227"/>
      <c r="BG33" s="227"/>
      <c r="BH33" s="227"/>
      <c r="BI33" s="227"/>
      <c r="BJ33" s="227"/>
      <c r="BK33" s="227"/>
      <c r="BL33" s="227"/>
      <c r="BM33" s="227"/>
      <c r="BN33" s="227"/>
      <c r="BO33" s="227"/>
      <c r="BP33" s="221"/>
      <c r="BQ33" s="227"/>
      <c r="BR33" s="227"/>
      <c r="BS33" s="227"/>
      <c r="BT33" s="227"/>
      <c r="BU33" s="227"/>
      <c r="BV33" s="227"/>
      <c r="BW33" s="227"/>
      <c r="BX33" s="227"/>
      <c r="BY33" s="227"/>
      <c r="BZ33" s="227"/>
      <c r="CA33" s="227"/>
      <c r="CB33" s="240"/>
    </row>
    <row r="34" spans="1:159" ht="13.5" thickBot="1" x14ac:dyDescent="0.25">
      <c r="A34" s="227">
        <v>1</v>
      </c>
      <c r="B34" s="227"/>
      <c r="C34" s="227"/>
      <c r="D34" s="227"/>
      <c r="E34" s="227"/>
      <c r="F34" s="227"/>
      <c r="G34" s="227"/>
      <c r="H34" s="228" t="s">
        <v>38</v>
      </c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37"/>
      <c r="AM34" s="232"/>
      <c r="AN34" s="232"/>
      <c r="AO34" s="232"/>
      <c r="AP34" s="233">
        <v>82848.600000000006</v>
      </c>
      <c r="AQ34" s="232"/>
      <c r="AR34" s="232"/>
      <c r="AS34" s="232"/>
      <c r="AT34" s="232"/>
      <c r="AU34" s="232"/>
      <c r="AV34" s="232"/>
      <c r="AW34" s="232"/>
      <c r="AX34" s="232"/>
      <c r="AY34" s="232"/>
      <c r="AZ34" s="232"/>
      <c r="BA34" s="232"/>
      <c r="BB34" s="232"/>
      <c r="BC34" s="233">
        <v>82848.600000000006</v>
      </c>
      <c r="BD34" s="232"/>
      <c r="BE34" s="232"/>
      <c r="BF34" s="23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3">
        <v>82848.600000000006</v>
      </c>
      <c r="BQ34" s="232"/>
      <c r="BR34" s="232"/>
      <c r="BS34" s="232"/>
      <c r="BT34" s="232"/>
      <c r="BU34" s="232"/>
      <c r="BV34" s="232"/>
      <c r="BW34" s="232"/>
      <c r="BX34" s="232"/>
      <c r="BY34" s="232"/>
      <c r="BZ34" s="232"/>
      <c r="CA34" s="232"/>
      <c r="CB34" s="241"/>
      <c r="EZ34" s="2" t="s">
        <v>2</v>
      </c>
      <c r="FA34" s="2" t="s">
        <v>150</v>
      </c>
      <c r="FC34" s="210" t="str">
        <f>H34</f>
        <v>Ремонтно отделочные работы</v>
      </c>
    </row>
    <row r="35" spans="1:159" x14ac:dyDescent="0.2">
      <c r="BN35" s="205" t="s">
        <v>216</v>
      </c>
      <c r="BP35" s="249">
        <f>BP31</f>
        <v>82848.600000000006</v>
      </c>
      <c r="BQ35" s="249"/>
      <c r="BR35" s="249"/>
      <c r="BS35" s="249"/>
      <c r="BT35" s="249"/>
      <c r="BU35" s="249"/>
      <c r="BV35" s="249"/>
      <c r="BW35" s="249"/>
      <c r="BX35" s="249"/>
      <c r="BY35" s="249"/>
      <c r="BZ35" s="249"/>
      <c r="CA35" s="249"/>
      <c r="CB35" s="249"/>
    </row>
    <row r="36" spans="1:159" x14ac:dyDescent="0.2">
      <c r="BN36" s="205" t="s">
        <v>217</v>
      </c>
      <c r="BP36" s="250" t="s">
        <v>39</v>
      </c>
      <c r="BQ36" s="242"/>
      <c r="BR36" s="242"/>
      <c r="BS36" s="242"/>
      <c r="BT36" s="242"/>
      <c r="BU36" s="242"/>
      <c r="BV36" s="242"/>
      <c r="BW36" s="242"/>
      <c r="BX36" s="242"/>
      <c r="BY36" s="242"/>
      <c r="BZ36" s="242"/>
      <c r="CA36" s="242"/>
      <c r="CB36" s="242"/>
    </row>
    <row r="37" spans="1:159" x14ac:dyDescent="0.2">
      <c r="BN37" s="219" t="s">
        <v>218</v>
      </c>
      <c r="BP37" s="243">
        <f>ItogBezNDS</f>
        <v>82848.600000000006</v>
      </c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</row>
    <row r="41" spans="1:159" x14ac:dyDescent="0.2">
      <c r="A41" s="2" t="s">
        <v>219</v>
      </c>
      <c r="V41" s="187" t="s">
        <v>225</v>
      </c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</row>
    <row r="43" spans="1:159" x14ac:dyDescent="0.2">
      <c r="F43" s="2" t="s">
        <v>221</v>
      </c>
    </row>
    <row r="47" spans="1:159" x14ac:dyDescent="0.2">
      <c r="A47" s="2" t="s">
        <v>220</v>
      </c>
      <c r="V47" s="187" t="s">
        <v>227</v>
      </c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</row>
    <row r="49" spans="6:6" x14ac:dyDescent="0.2">
      <c r="F49" s="2" t="s">
        <v>221</v>
      </c>
    </row>
  </sheetData>
  <mergeCells count="64">
    <mergeCell ref="BP35:CB35"/>
    <mergeCell ref="BP36:CB36"/>
    <mergeCell ref="BP37:CB37"/>
    <mergeCell ref="V41:CB41"/>
    <mergeCell ref="V47:CB47"/>
    <mergeCell ref="BP34:CB34"/>
    <mergeCell ref="BC34:BO34"/>
    <mergeCell ref="AP34:BB34"/>
    <mergeCell ref="AL34:AO34"/>
    <mergeCell ref="H34:AK34"/>
    <mergeCell ref="A34:G34"/>
    <mergeCell ref="A31:G32"/>
    <mergeCell ref="BP33:CB33"/>
    <mergeCell ref="BC33:BO33"/>
    <mergeCell ref="AP33:BB33"/>
    <mergeCell ref="AL33:AO33"/>
    <mergeCell ref="H33:AK33"/>
    <mergeCell ref="A33:G33"/>
    <mergeCell ref="AP28:BB29"/>
    <mergeCell ref="AP27:CB27"/>
    <mergeCell ref="AL27:AO29"/>
    <mergeCell ref="H27:AK29"/>
    <mergeCell ref="A27:G29"/>
    <mergeCell ref="BP31:CB32"/>
    <mergeCell ref="BC31:BO32"/>
    <mergeCell ref="AP31:BB32"/>
    <mergeCell ref="AL31:AO32"/>
    <mergeCell ref="H31:AK32"/>
    <mergeCell ref="AR21:BB22"/>
    <mergeCell ref="A24:CB24"/>
    <mergeCell ref="BP30:CB30"/>
    <mergeCell ref="BC30:BO30"/>
    <mergeCell ref="AP30:BB30"/>
    <mergeCell ref="AL30:AO30"/>
    <mergeCell ref="H30:AK30"/>
    <mergeCell ref="A30:G30"/>
    <mergeCell ref="BP28:CB29"/>
    <mergeCell ref="BC28:BO29"/>
    <mergeCell ref="I13:BD13"/>
    <mergeCell ref="I14:BD14"/>
    <mergeCell ref="BV23:CB23"/>
    <mergeCell ref="BO23:BU23"/>
    <mergeCell ref="BC23:BM23"/>
    <mergeCell ref="AR23:BB23"/>
    <mergeCell ref="BV22:CB22"/>
    <mergeCell ref="BO22:BU22"/>
    <mergeCell ref="BO21:CB21"/>
    <mergeCell ref="BC21:BM22"/>
    <mergeCell ref="BN14:CB15"/>
    <mergeCell ref="BN16:CB16"/>
    <mergeCell ref="BN17:CB17"/>
    <mergeCell ref="BN18:CB18"/>
    <mergeCell ref="I7:BD7"/>
    <mergeCell ref="I8:BD8"/>
    <mergeCell ref="I9:BD9"/>
    <mergeCell ref="I10:BD10"/>
    <mergeCell ref="I11:BD11"/>
    <mergeCell ref="I12:BD12"/>
    <mergeCell ref="BN5:CB5"/>
    <mergeCell ref="BN6:CB6"/>
    <mergeCell ref="BN7:CB7"/>
    <mergeCell ref="BN8:CB9"/>
    <mergeCell ref="BN10:CB11"/>
    <mergeCell ref="BN12:CB13"/>
  </mergeCells>
  <pageMargins left="0.7" right="0.7" top="0.75" bottom="0.75" header="0.3" footer="0.3"/>
  <pageSetup paperSize="9" scale="94" fitToHeight="0" orientation="portrait" horizontalDpi="300" verticalDpi="300" r:id="rId1"/>
  <headerFooter>
    <oddFooter>&amp;C&amp;P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ACA3-FE40-4E39-8A81-21ECCA24FB06}">
  <sheetPr>
    <tabColor rgb="FF70319F"/>
    <pageSetUpPr fitToPage="1"/>
  </sheetPr>
  <dimension ref="A1:GW45"/>
  <sheetViews>
    <sheetView showGridLines="0" zoomScaleNormal="100" workbookViewId="0">
      <selection activeCell="A4" sqref="A4"/>
    </sheetView>
  </sheetViews>
  <sheetFormatPr defaultRowHeight="18.75" customHeight="1" x14ac:dyDescent="0.3"/>
  <cols>
    <col min="1" max="1" width="4.28515625" style="311" customWidth="1"/>
    <col min="2" max="32" width="3.42578125" style="311" customWidth="1"/>
    <col min="33" max="37" width="3.7109375" style="311" customWidth="1"/>
    <col min="38" max="46" width="9.140625" style="311"/>
    <col min="47" max="52" width="9.140625" style="309"/>
    <col min="53" max="53" width="127.7109375" style="309" customWidth="1"/>
    <col min="54" max="54" width="68.85546875" style="309" customWidth="1"/>
    <col min="55" max="205" width="9.140625" style="309"/>
    <col min="206" max="16384" width="9.140625" style="311"/>
  </cols>
  <sheetData>
    <row r="1" spans="1:205" ht="20.25" customHeight="1" x14ac:dyDescent="0.3">
      <c r="A1" s="313" t="s">
        <v>102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GR1" s="309" t="s">
        <v>288</v>
      </c>
      <c r="GS1" s="310" t="s">
        <v>101</v>
      </c>
      <c r="GT1" s="310" t="s">
        <v>118</v>
      </c>
      <c r="GU1" s="310" t="s">
        <v>118</v>
      </c>
      <c r="GV1" s="310" t="s">
        <v>316</v>
      </c>
      <c r="GW1" s="309" t="s">
        <v>39</v>
      </c>
    </row>
    <row r="2" spans="1:205" ht="8.25" customHeight="1" x14ac:dyDescent="0.3">
      <c r="GR2" s="309">
        <v>1</v>
      </c>
      <c r="GS2" s="309" t="s">
        <v>97</v>
      </c>
      <c r="GT2" s="344">
        <v>46072</v>
      </c>
      <c r="GU2" s="344">
        <v>46072</v>
      </c>
      <c r="GV2" s="362">
        <v>50</v>
      </c>
    </row>
    <row r="3" spans="1:205" ht="18.75" customHeight="1" x14ac:dyDescent="0.3">
      <c r="A3" s="311" t="s">
        <v>289</v>
      </c>
      <c r="D3" s="312" t="s">
        <v>311</v>
      </c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GR3" s="309" t="s">
        <v>1</v>
      </c>
      <c r="GS3" s="309" t="s">
        <v>97</v>
      </c>
      <c r="GU3" s="362">
        <v>0</v>
      </c>
    </row>
    <row r="5" spans="1:205" x14ac:dyDescent="0.3">
      <c r="A5" s="314"/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4"/>
      <c r="AE5" s="314"/>
      <c r="AF5" s="314"/>
      <c r="AG5" s="314"/>
      <c r="AH5" s="314"/>
      <c r="AI5" s="314"/>
      <c r="AJ5" s="314"/>
      <c r="AK5" s="314"/>
      <c r="BA5" s="359">
        <f>A5</f>
        <v>0</v>
      </c>
    </row>
    <row r="7" spans="1:205" ht="18.75" customHeight="1" x14ac:dyDescent="0.3">
      <c r="A7" s="315" t="s">
        <v>290</v>
      </c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</row>
    <row r="8" spans="1:205" ht="18.75" customHeight="1" x14ac:dyDescent="0.3">
      <c r="A8" s="327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30" t="s">
        <v>295</v>
      </c>
      <c r="T8" s="326"/>
      <c r="U8" s="326"/>
      <c r="V8" s="335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38"/>
    </row>
    <row r="9" spans="1:205" ht="18.75" customHeight="1" x14ac:dyDescent="0.3">
      <c r="A9" s="328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32" t="s">
        <v>296</v>
      </c>
      <c r="T9" s="324"/>
      <c r="U9" s="324"/>
      <c r="V9" s="336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39"/>
    </row>
    <row r="10" spans="1:205" ht="18.75" customHeight="1" x14ac:dyDescent="0.3">
      <c r="A10" s="329" t="s">
        <v>291</v>
      </c>
      <c r="B10" s="322"/>
      <c r="C10" s="322"/>
      <c r="D10" s="322"/>
      <c r="E10" s="322"/>
      <c r="F10" s="322"/>
      <c r="G10" s="322"/>
      <c r="H10" s="322"/>
      <c r="I10" s="322"/>
      <c r="J10" s="318"/>
      <c r="K10" s="318"/>
      <c r="L10" s="318"/>
      <c r="M10" s="318"/>
      <c r="N10" s="318"/>
      <c r="O10" s="318"/>
      <c r="P10" s="318"/>
      <c r="Q10" s="318"/>
      <c r="R10" s="318"/>
      <c r="S10" s="333"/>
      <c r="T10" s="319"/>
      <c r="U10" s="319"/>
      <c r="V10" s="333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39"/>
    </row>
    <row r="11" spans="1:205" ht="18.75" customHeight="1" x14ac:dyDescent="0.3">
      <c r="A11" s="330" t="s">
        <v>292</v>
      </c>
      <c r="B11" s="326"/>
      <c r="C11" s="325" t="s">
        <v>312</v>
      </c>
      <c r="D11" s="326"/>
      <c r="E11" s="326"/>
      <c r="F11" s="326"/>
      <c r="G11" s="326"/>
      <c r="H11" s="326"/>
      <c r="I11" s="326"/>
      <c r="J11" s="329" t="s">
        <v>293</v>
      </c>
      <c r="K11" s="322"/>
      <c r="L11" s="321" t="s">
        <v>313</v>
      </c>
      <c r="M11" s="322"/>
      <c r="N11" s="322"/>
      <c r="O11" s="322"/>
      <c r="P11" s="322"/>
      <c r="Q11" s="322"/>
      <c r="R11" s="322"/>
      <c r="S11" s="332" t="s">
        <v>296</v>
      </c>
      <c r="T11" s="324"/>
      <c r="U11" s="324"/>
      <c r="V11" s="33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40"/>
    </row>
    <row r="12" spans="1:205" ht="18.75" customHeight="1" x14ac:dyDescent="0.3">
      <c r="A12" s="327" t="s">
        <v>102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33"/>
      <c r="T12" s="319"/>
      <c r="U12" s="319"/>
      <c r="V12" s="333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39"/>
    </row>
    <row r="13" spans="1:205" ht="18.75" customHeight="1" x14ac:dyDescent="0.3">
      <c r="A13" s="328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33"/>
      <c r="T13" s="319"/>
      <c r="U13" s="319"/>
      <c r="V13" s="333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39"/>
    </row>
    <row r="14" spans="1:205" ht="18.75" customHeight="1" x14ac:dyDescent="0.3">
      <c r="A14" s="331" t="s">
        <v>294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34"/>
      <c r="T14" s="320"/>
      <c r="U14" s="320"/>
      <c r="V14" s="334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41"/>
    </row>
    <row r="18" spans="1:54" ht="26.25" customHeight="1" x14ac:dyDescent="0.3">
      <c r="A18" s="343" t="s">
        <v>297</v>
      </c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</row>
    <row r="22" spans="1:54" ht="18.75" customHeight="1" x14ac:dyDescent="0.3">
      <c r="A22" s="311" t="s">
        <v>298</v>
      </c>
      <c r="H22" s="316" t="s">
        <v>98</v>
      </c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</row>
    <row r="23" spans="1:54" ht="18.75" customHeight="1" x14ac:dyDescent="0.3">
      <c r="A23" s="311" t="s">
        <v>299</v>
      </c>
      <c r="H23" s="316" t="s">
        <v>98</v>
      </c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</row>
    <row r="25" spans="1:54" ht="48" customHeight="1" x14ac:dyDescent="0.3">
      <c r="A25" s="345" t="s">
        <v>300</v>
      </c>
      <c r="B25" s="346" t="s">
        <v>301</v>
      </c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 t="s">
        <v>26</v>
      </c>
      <c r="W25" s="346"/>
      <c r="X25" s="346"/>
      <c r="Y25" s="346" t="s">
        <v>96</v>
      </c>
      <c r="Z25" s="346"/>
      <c r="AA25" s="346"/>
      <c r="AB25" s="346" t="s">
        <v>27</v>
      </c>
      <c r="AC25" s="346"/>
      <c r="AD25" s="346"/>
      <c r="AE25" s="346"/>
      <c r="AF25" s="346"/>
      <c r="AG25" s="346" t="s">
        <v>302</v>
      </c>
      <c r="AH25" s="346"/>
      <c r="AI25" s="346"/>
      <c r="AJ25" s="346"/>
      <c r="AK25" s="346"/>
    </row>
    <row r="26" spans="1:54" x14ac:dyDescent="0.3">
      <c r="A26" s="347">
        <v>1</v>
      </c>
      <c r="B26" s="348" t="s">
        <v>317</v>
      </c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9"/>
      <c r="W26" s="349"/>
      <c r="X26" s="349"/>
      <c r="Y26" s="350"/>
      <c r="Z26" s="350"/>
      <c r="AA26" s="350"/>
      <c r="AB26" s="351">
        <v>0</v>
      </c>
      <c r="AC26" s="351"/>
      <c r="AD26" s="351"/>
      <c r="AE26" s="351"/>
      <c r="AF26" s="351"/>
      <c r="AG26" s="351">
        <v>0</v>
      </c>
      <c r="AH26" s="351"/>
      <c r="AI26" s="351"/>
      <c r="AJ26" s="351"/>
      <c r="AK26" s="351"/>
      <c r="BB26" s="360" t="str">
        <f>B26</f>
        <v>Оплата по Договору № 1 от 19.02.2026г.</v>
      </c>
    </row>
    <row r="27" spans="1:54" ht="18.75" customHeight="1" x14ac:dyDescent="0.3">
      <c r="AF27" s="352" t="s">
        <v>303</v>
      </c>
      <c r="AG27" s="355">
        <f>SUM(AG26:AK26)</f>
        <v>0</v>
      </c>
      <c r="AH27" s="353"/>
      <c r="AI27" s="353"/>
      <c r="AJ27" s="353"/>
      <c r="AK27" s="354"/>
    </row>
    <row r="28" spans="1:54" ht="18.75" customHeight="1" x14ac:dyDescent="0.3">
      <c r="AF28" s="352" t="s">
        <v>304</v>
      </c>
      <c r="AG28" s="356" t="s">
        <v>39</v>
      </c>
      <c r="AH28" s="353"/>
      <c r="AI28" s="353"/>
      <c r="AJ28" s="353"/>
      <c r="AK28" s="354"/>
    </row>
    <row r="29" spans="1:54" ht="18.75" customHeight="1" x14ac:dyDescent="0.3">
      <c r="AF29" s="352" t="s">
        <v>305</v>
      </c>
      <c r="AG29" s="355">
        <f>Itogo</f>
        <v>0</v>
      </c>
      <c r="AH29" s="353"/>
      <c r="AI29" s="353"/>
      <c r="AJ29" s="353"/>
      <c r="AK29" s="354"/>
    </row>
    <row r="32" spans="1:54" ht="18.75" customHeight="1" x14ac:dyDescent="0.3">
      <c r="A32" s="311" t="s">
        <v>306</v>
      </c>
    </row>
    <row r="33" spans="1:53" ht="18.75" customHeight="1" x14ac:dyDescent="0.3">
      <c r="A33" s="311" t="s">
        <v>307</v>
      </c>
    </row>
    <row r="36" spans="1:53" x14ac:dyDescent="0.3">
      <c r="A36" s="357" t="s">
        <v>308</v>
      </c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  <c r="AA36" s="357"/>
      <c r="AB36" s="357"/>
      <c r="AC36" s="357"/>
      <c r="AD36" s="357"/>
      <c r="AE36" s="357"/>
      <c r="AF36" s="357"/>
      <c r="AG36" s="357"/>
      <c r="AH36" s="357"/>
      <c r="AI36" s="357"/>
      <c r="AJ36" s="357"/>
      <c r="AK36" s="357"/>
      <c r="BA36" s="361" t="str">
        <f>A36</f>
        <v>В платёжном поручении ссылка на номер Договора обязательна!!!</v>
      </c>
    </row>
    <row r="41" spans="1:53" ht="18.75" customHeight="1" x14ac:dyDescent="0.3">
      <c r="A41" s="358" t="s">
        <v>309</v>
      </c>
      <c r="I41" s="316" t="s">
        <v>314</v>
      </c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</row>
    <row r="43" spans="1:53" ht="18.75" customHeight="1" x14ac:dyDescent="0.3">
      <c r="P43" s="311" t="s">
        <v>191</v>
      </c>
    </row>
    <row r="45" spans="1:53" ht="18.75" customHeight="1" x14ac:dyDescent="0.3">
      <c r="A45" s="358" t="s">
        <v>310</v>
      </c>
      <c r="I45" s="316" t="s">
        <v>315</v>
      </c>
      <c r="J45" s="316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316"/>
      <c r="AH45" s="316"/>
      <c r="AI45" s="316"/>
      <c r="AJ45" s="316"/>
      <c r="AK45" s="316"/>
    </row>
  </sheetData>
  <mergeCells count="37">
    <mergeCell ref="AG28:AK28"/>
    <mergeCell ref="AG29:AK29"/>
    <mergeCell ref="A36:AK36"/>
    <mergeCell ref="I41:AK41"/>
    <mergeCell ref="I45:AK45"/>
    <mergeCell ref="B26:U26"/>
    <mergeCell ref="V26:X26"/>
    <mergeCell ref="Y26:AA26"/>
    <mergeCell ref="AB26:AF26"/>
    <mergeCell ref="AG26:AK26"/>
    <mergeCell ref="AG27:AK27"/>
    <mergeCell ref="S11:U14"/>
    <mergeCell ref="V11:AK14"/>
    <mergeCell ref="A18:AK18"/>
    <mergeCell ref="H22:AK22"/>
    <mergeCell ref="H23:AK23"/>
    <mergeCell ref="B25:U25"/>
    <mergeCell ref="V25:X25"/>
    <mergeCell ref="Y25:AA25"/>
    <mergeCell ref="AB25:AF25"/>
    <mergeCell ref="AG25:AK25"/>
    <mergeCell ref="A11:B11"/>
    <mergeCell ref="C11:I11"/>
    <mergeCell ref="J11:K11"/>
    <mergeCell ref="L11:R11"/>
    <mergeCell ref="A12:R13"/>
    <mergeCell ref="A14:R14"/>
    <mergeCell ref="A1:AK1"/>
    <mergeCell ref="D3:AK3"/>
    <mergeCell ref="A5:AK5"/>
    <mergeCell ref="A7:AK7"/>
    <mergeCell ref="A8:R9"/>
    <mergeCell ref="A10:R10"/>
    <mergeCell ref="S8:U8"/>
    <mergeCell ref="V8:AK8"/>
    <mergeCell ref="S9:U10"/>
    <mergeCell ref="V9:AK10"/>
  </mergeCells>
  <pageMargins left="0.7" right="0.7" top="0.75" bottom="0.75" header="0.3" footer="0.3"/>
  <pageSetup paperSize="9" scale="68" fitToHeight="0" orientation="portrait" horizontalDpi="300" verticalDpi="300" r:id="rId1"/>
  <headerFooter>
    <oddFooter>&amp;C&amp;P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3257-F615-4DB8-B091-7CE8C4A17B60}">
  <sheetPr>
    <tabColor rgb="FFFF6600"/>
    <pageSetUpPr fitToPage="1"/>
  </sheetPr>
  <dimension ref="A1:HC103"/>
  <sheetViews>
    <sheetView showGridLines="0" zoomScaleNormal="100" workbookViewId="0"/>
  </sheetViews>
  <sheetFormatPr defaultRowHeight="15" customHeight="1" x14ac:dyDescent="0.25"/>
  <cols>
    <col min="1" max="1" width="3.42578125" style="251" customWidth="1"/>
    <col min="2" max="32" width="1.140625" style="251" customWidth="1"/>
    <col min="33" max="36" width="0.85546875" style="251" customWidth="1"/>
    <col min="37" max="37" width="2" style="251" customWidth="1"/>
    <col min="38" max="51" width="0.85546875" style="251" customWidth="1"/>
    <col min="52" max="52" width="1.42578125" style="251" customWidth="1"/>
    <col min="53" max="73" width="0.85546875" style="251" customWidth="1"/>
    <col min="74" max="87" width="1" style="251" customWidth="1"/>
    <col min="88" max="96" width="0.85546875" style="251" customWidth="1"/>
    <col min="97" max="97" width="1.7109375" style="251" customWidth="1"/>
    <col min="98" max="103" width="0.85546875" style="251" customWidth="1"/>
    <col min="104" max="108" width="1" style="251" customWidth="1"/>
    <col min="109" max="109" width="0.42578125" style="251" customWidth="1"/>
    <col min="110" max="115" width="1" style="251" customWidth="1"/>
    <col min="116" max="116" width="2.5703125" style="251" customWidth="1"/>
    <col min="117" max="129" width="1" style="251" customWidth="1"/>
    <col min="130" max="151" width="0.7109375" style="251" customWidth="1"/>
    <col min="152" max="162" width="1.5703125" style="251" customWidth="1"/>
    <col min="163" max="208" width="9.140625" style="251"/>
    <col min="209" max="209" width="36.140625" style="251" customWidth="1"/>
    <col min="210" max="16384" width="9.140625" style="251"/>
  </cols>
  <sheetData>
    <row r="1" spans="1:211" ht="11.25" customHeight="1" x14ac:dyDescent="0.25">
      <c r="DW1" s="252"/>
      <c r="FF1" s="253" t="s">
        <v>109</v>
      </c>
      <c r="FG1" s="254"/>
      <c r="FH1" s="254"/>
      <c r="FI1" s="254"/>
      <c r="FJ1" s="254"/>
      <c r="FK1" s="254"/>
      <c r="FL1" s="254"/>
      <c r="FM1" s="254"/>
      <c r="FN1" s="254"/>
      <c r="FO1" s="254"/>
      <c r="FP1" s="254"/>
      <c r="FQ1" s="254"/>
      <c r="FR1" s="254"/>
      <c r="FS1" s="254"/>
      <c r="FT1" s="254"/>
      <c r="FU1" s="254"/>
      <c r="FV1" s="254"/>
      <c r="FW1" s="254"/>
      <c r="FX1" s="254"/>
      <c r="FY1" s="254"/>
      <c r="FZ1" s="254"/>
      <c r="GA1" s="254"/>
      <c r="GB1" s="254"/>
      <c r="GC1" s="254"/>
      <c r="GD1" s="254"/>
      <c r="GE1" s="254"/>
      <c r="GF1" s="254"/>
      <c r="GG1" s="254"/>
      <c r="GH1" s="254"/>
      <c r="GI1" s="254"/>
      <c r="GJ1" s="254"/>
      <c r="GK1" s="254"/>
      <c r="GL1" s="254"/>
      <c r="GM1" s="254"/>
      <c r="GN1" s="254"/>
      <c r="GO1" s="254"/>
      <c r="GP1" s="254"/>
      <c r="GQ1" s="254"/>
      <c r="GR1" s="254" t="s">
        <v>228</v>
      </c>
      <c r="GS1" s="254" t="s">
        <v>267</v>
      </c>
      <c r="GT1" s="255" t="s">
        <v>223</v>
      </c>
      <c r="GU1" s="254" t="s">
        <v>268</v>
      </c>
      <c r="GV1" s="254"/>
      <c r="GW1" s="254" t="s">
        <v>39</v>
      </c>
      <c r="GX1" s="254">
        <v>1</v>
      </c>
      <c r="GY1" s="254"/>
      <c r="GZ1" s="254"/>
      <c r="HA1" s="255" t="s">
        <v>118</v>
      </c>
      <c r="HB1" s="254"/>
      <c r="HC1" s="254"/>
    </row>
    <row r="2" spans="1:211" ht="11.25" customHeight="1" x14ac:dyDescent="0.25">
      <c r="DW2" s="252"/>
      <c r="FF2" s="253" t="s">
        <v>229</v>
      </c>
      <c r="FG2" s="254"/>
      <c r="FH2" s="254"/>
      <c r="FI2" s="254"/>
      <c r="FJ2" s="254"/>
      <c r="FK2" s="254"/>
      <c r="FL2" s="254"/>
      <c r="FM2" s="254"/>
      <c r="FN2" s="254"/>
      <c r="FO2" s="254"/>
      <c r="FP2" s="254"/>
      <c r="FQ2" s="254"/>
      <c r="FR2" s="254"/>
      <c r="FS2" s="254"/>
      <c r="FT2" s="254"/>
      <c r="FU2" s="254"/>
      <c r="FV2" s="254"/>
      <c r="FW2" s="254"/>
      <c r="FX2" s="254"/>
      <c r="FY2" s="254"/>
      <c r="FZ2" s="254"/>
      <c r="GA2" s="254"/>
      <c r="GB2" s="254"/>
      <c r="GC2" s="254"/>
      <c r="GD2" s="254"/>
      <c r="GE2" s="254"/>
      <c r="GF2" s="254"/>
      <c r="GG2" s="254"/>
      <c r="GH2" s="254"/>
      <c r="GI2" s="254"/>
      <c r="GJ2" s="254"/>
      <c r="GK2" s="254"/>
      <c r="GL2" s="254"/>
      <c r="GM2" s="254"/>
      <c r="GN2" s="254"/>
      <c r="GO2" s="254"/>
      <c r="GP2" s="254"/>
      <c r="GQ2" s="254"/>
      <c r="GR2" s="254"/>
      <c r="GS2" s="254"/>
      <c r="GT2" s="254"/>
      <c r="GU2" s="254"/>
      <c r="GV2" s="254"/>
      <c r="GW2" s="254"/>
      <c r="GX2" s="254"/>
      <c r="GY2" s="254"/>
      <c r="GZ2" s="254"/>
      <c r="HA2" s="256">
        <v>46072</v>
      </c>
      <c r="HB2" s="254"/>
      <c r="HC2" s="254"/>
    </row>
    <row r="3" spans="1:211" ht="11.25" customHeight="1" x14ac:dyDescent="0.25">
      <c r="DW3" s="252"/>
      <c r="FF3" s="253" t="s">
        <v>230</v>
      </c>
      <c r="FG3" s="254"/>
      <c r="FH3" s="254"/>
      <c r="FI3" s="254"/>
      <c r="FJ3" s="254"/>
      <c r="FK3" s="254"/>
      <c r="FL3" s="254"/>
      <c r="FM3" s="254"/>
      <c r="FN3" s="254"/>
      <c r="FO3" s="254"/>
      <c r="FP3" s="254"/>
      <c r="FQ3" s="254"/>
      <c r="FR3" s="254"/>
      <c r="FS3" s="254"/>
      <c r="FT3" s="254"/>
      <c r="FU3" s="254"/>
      <c r="FV3" s="254"/>
      <c r="FW3" s="254"/>
      <c r="FX3" s="254"/>
      <c r="FY3" s="254"/>
      <c r="FZ3" s="254"/>
      <c r="GA3" s="254"/>
      <c r="GB3" s="254"/>
      <c r="GC3" s="254"/>
      <c r="GD3" s="254"/>
      <c r="GE3" s="254"/>
      <c r="GF3" s="254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5"/>
      <c r="GS3" s="254"/>
      <c r="GT3" s="254"/>
      <c r="GU3" s="254"/>
      <c r="GV3" s="254"/>
      <c r="GW3" s="254"/>
      <c r="GX3" s="254"/>
      <c r="GY3" s="254"/>
      <c r="GZ3" s="254"/>
      <c r="HA3" s="257">
        <v>82848.600000000006</v>
      </c>
      <c r="HB3" s="254"/>
      <c r="HC3" s="254"/>
    </row>
    <row r="4" spans="1:211" ht="11.25" customHeight="1" x14ac:dyDescent="0.25">
      <c r="DW4" s="252"/>
      <c r="FF4" s="253" t="s">
        <v>231</v>
      </c>
      <c r="FG4" s="254"/>
      <c r="FH4" s="254"/>
      <c r="FI4" s="254"/>
      <c r="FJ4" s="254"/>
      <c r="FK4" s="254"/>
      <c r="FL4" s="254"/>
      <c r="FM4" s="254"/>
      <c r="FN4" s="254"/>
      <c r="FO4" s="254"/>
      <c r="FP4" s="254"/>
      <c r="FQ4" s="254"/>
      <c r="FR4" s="254"/>
      <c r="FS4" s="254"/>
      <c r="FT4" s="254"/>
      <c r="FU4" s="254"/>
      <c r="FV4" s="254"/>
      <c r="FW4" s="254"/>
      <c r="FX4" s="254"/>
      <c r="FY4" s="254"/>
      <c r="FZ4" s="254"/>
      <c r="GA4" s="254"/>
      <c r="GB4" s="254"/>
      <c r="GC4" s="254"/>
      <c r="GD4" s="254"/>
      <c r="GE4" s="254"/>
      <c r="GF4" s="254"/>
      <c r="GG4" s="254"/>
      <c r="GH4" s="254"/>
      <c r="GI4" s="254"/>
      <c r="GJ4" s="254"/>
      <c r="GK4" s="254"/>
      <c r="GL4" s="254"/>
      <c r="GM4" s="254"/>
      <c r="GN4" s="254"/>
      <c r="GO4" s="254"/>
      <c r="GP4" s="254"/>
      <c r="GQ4" s="254"/>
      <c r="GR4" s="255" t="s">
        <v>232</v>
      </c>
      <c r="GS4" s="254"/>
      <c r="GT4" s="254"/>
      <c r="GU4" s="254"/>
      <c r="GV4" s="254"/>
      <c r="GW4" s="254"/>
      <c r="GX4" s="254"/>
      <c r="GY4" s="254"/>
      <c r="GZ4" s="254"/>
      <c r="HA4" s="254"/>
      <c r="HB4" s="254"/>
      <c r="HC4" s="254"/>
    </row>
    <row r="5" spans="1:211" ht="11.25" customHeight="1" x14ac:dyDescent="0.25">
      <c r="DW5" s="252"/>
      <c r="FF5" s="253" t="s">
        <v>269</v>
      </c>
      <c r="FG5" s="254"/>
      <c r="FH5" s="254"/>
      <c r="FI5" s="254"/>
      <c r="FJ5" s="254"/>
      <c r="FK5" s="254"/>
      <c r="FL5" s="254"/>
      <c r="FM5" s="254"/>
      <c r="FN5" s="254"/>
      <c r="FO5" s="254"/>
      <c r="FP5" s="254"/>
      <c r="FQ5" s="254"/>
      <c r="FR5" s="254"/>
      <c r="FS5" s="254"/>
      <c r="FT5" s="254"/>
      <c r="FU5" s="254"/>
      <c r="FV5" s="254"/>
      <c r="FW5" s="254"/>
      <c r="FX5" s="254"/>
      <c r="FY5" s="254"/>
      <c r="FZ5" s="254"/>
      <c r="GA5" s="254"/>
      <c r="GB5" s="254"/>
      <c r="GC5" s="254"/>
      <c r="GD5" s="254"/>
      <c r="GE5" s="254"/>
      <c r="GF5" s="254"/>
      <c r="GG5" s="254"/>
      <c r="GH5" s="254"/>
      <c r="GI5" s="254"/>
      <c r="GJ5" s="254"/>
      <c r="GK5" s="254"/>
      <c r="GL5" s="254"/>
      <c r="GM5" s="254"/>
      <c r="GN5" s="254"/>
      <c r="GO5" s="254"/>
      <c r="GP5" s="254"/>
      <c r="GQ5" s="254"/>
      <c r="GR5" s="255"/>
      <c r="GS5" s="254"/>
      <c r="GT5" s="254"/>
      <c r="GU5" s="254"/>
      <c r="GV5" s="254"/>
      <c r="GW5" s="254"/>
      <c r="GX5" s="254"/>
      <c r="GY5" s="254"/>
      <c r="GZ5" s="254"/>
      <c r="HA5" s="254"/>
      <c r="HB5" s="254"/>
      <c r="HC5" s="254"/>
    </row>
    <row r="6" spans="1:211" ht="15.75" customHeight="1" x14ac:dyDescent="0.25">
      <c r="A6" s="258" t="s">
        <v>280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I6" s="259"/>
      <c r="FG6" s="254"/>
      <c r="FH6" s="254"/>
      <c r="FI6" s="254"/>
      <c r="FJ6" s="254"/>
      <c r="FK6" s="254"/>
      <c r="FL6" s="254"/>
      <c r="FM6" s="254"/>
      <c r="FN6" s="254"/>
      <c r="FO6" s="254"/>
      <c r="FP6" s="254"/>
      <c r="FQ6" s="254"/>
      <c r="FR6" s="254"/>
      <c r="FS6" s="254"/>
      <c r="FT6" s="254"/>
      <c r="FU6" s="254"/>
      <c r="FV6" s="254"/>
      <c r="FW6" s="254"/>
      <c r="FX6" s="254"/>
      <c r="FY6" s="254"/>
      <c r="FZ6" s="254"/>
      <c r="GA6" s="254"/>
      <c r="GB6" s="254"/>
      <c r="GC6" s="254"/>
      <c r="GD6" s="254"/>
      <c r="GE6" s="254"/>
      <c r="GF6" s="254"/>
      <c r="GG6" s="254"/>
      <c r="GH6" s="254"/>
      <c r="GI6" s="254"/>
      <c r="GJ6" s="254"/>
      <c r="GK6" s="254"/>
      <c r="GL6" s="254"/>
      <c r="GM6" s="254"/>
      <c r="GN6" s="254"/>
      <c r="GO6" s="254"/>
      <c r="GP6" s="254"/>
      <c r="GQ6" s="254"/>
      <c r="GR6" s="254"/>
      <c r="GS6" s="254"/>
      <c r="GT6" s="254"/>
      <c r="GU6" s="254"/>
      <c r="GV6" s="254"/>
      <c r="GW6" s="254"/>
      <c r="GX6" s="254"/>
      <c r="GY6" s="254"/>
      <c r="GZ6" s="254"/>
      <c r="HA6" s="255" t="s">
        <v>279</v>
      </c>
      <c r="HB6" s="256">
        <v>46072</v>
      </c>
      <c r="HC6" s="254"/>
    </row>
    <row r="7" spans="1:211" ht="15.75" customHeight="1" x14ac:dyDescent="0.25">
      <c r="A7" s="258" t="s">
        <v>281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8"/>
      <c r="CF7" s="258"/>
      <c r="CI7" s="260"/>
      <c r="FG7" s="254"/>
      <c r="FH7" s="254"/>
      <c r="FI7" s="254"/>
      <c r="FJ7" s="254"/>
      <c r="FK7" s="254"/>
      <c r="FL7" s="254"/>
      <c r="FM7" s="254"/>
      <c r="FN7" s="254"/>
      <c r="FO7" s="254"/>
      <c r="FP7" s="254"/>
      <c r="FQ7" s="254"/>
      <c r="FR7" s="254"/>
      <c r="FS7" s="254"/>
      <c r="FT7" s="254"/>
      <c r="FU7" s="254"/>
      <c r="FV7" s="254"/>
      <c r="FW7" s="254"/>
      <c r="FX7" s="254"/>
      <c r="FY7" s="254"/>
      <c r="FZ7" s="254"/>
      <c r="GA7" s="254"/>
      <c r="GB7" s="254"/>
      <c r="GC7" s="254"/>
      <c r="GD7" s="254"/>
      <c r="GE7" s="254"/>
      <c r="GF7" s="254"/>
      <c r="GG7" s="254"/>
      <c r="GH7" s="254"/>
      <c r="GI7" s="254"/>
      <c r="GJ7" s="254"/>
      <c r="GK7" s="254"/>
      <c r="GL7" s="254"/>
      <c r="GM7" s="254"/>
      <c r="GN7" s="254"/>
      <c r="GO7" s="254"/>
      <c r="GP7" s="254"/>
      <c r="GQ7" s="254"/>
      <c r="GR7" s="254"/>
      <c r="GS7" s="254"/>
      <c r="GT7" s="254"/>
      <c r="GU7" s="254"/>
      <c r="GV7" s="254"/>
      <c r="GW7" s="254"/>
      <c r="GX7" s="254"/>
      <c r="GY7" s="254"/>
      <c r="GZ7" s="254"/>
      <c r="HA7" s="255" t="s">
        <v>118</v>
      </c>
      <c r="HB7" s="256">
        <v>46072</v>
      </c>
      <c r="HC7" s="254"/>
    </row>
    <row r="8" spans="1:211" ht="6.75" customHeight="1" x14ac:dyDescent="0.25">
      <c r="FG8" s="254"/>
      <c r="FH8" s="254"/>
      <c r="FI8" s="254"/>
      <c r="FJ8" s="254"/>
      <c r="FK8" s="254"/>
      <c r="FL8" s="254"/>
      <c r="FM8" s="254"/>
      <c r="FN8" s="254"/>
      <c r="FO8" s="254"/>
      <c r="FP8" s="254"/>
      <c r="FQ8" s="254"/>
      <c r="FR8" s="254"/>
      <c r="FS8" s="254"/>
      <c r="FT8" s="254"/>
      <c r="FU8" s="254"/>
      <c r="FV8" s="254"/>
      <c r="FW8" s="254"/>
      <c r="FX8" s="254"/>
      <c r="FY8" s="254"/>
      <c r="FZ8" s="254"/>
      <c r="GA8" s="254"/>
      <c r="GB8" s="254"/>
      <c r="GC8" s="254"/>
      <c r="GD8" s="254"/>
      <c r="GE8" s="254"/>
      <c r="GF8" s="254"/>
      <c r="GG8" s="254"/>
      <c r="GH8" s="254"/>
      <c r="GI8" s="254"/>
      <c r="GJ8" s="254"/>
      <c r="GK8" s="254"/>
      <c r="GL8" s="254"/>
      <c r="GM8" s="254"/>
      <c r="GN8" s="254"/>
      <c r="GO8" s="254"/>
      <c r="GP8" s="254"/>
      <c r="GQ8" s="254"/>
      <c r="GR8" s="254"/>
      <c r="GS8" s="254"/>
      <c r="GT8" s="254"/>
      <c r="GU8" s="254"/>
      <c r="GV8" s="254"/>
      <c r="GW8" s="254"/>
      <c r="GX8" s="254"/>
      <c r="GY8" s="254"/>
      <c r="GZ8" s="254"/>
      <c r="HA8" s="254"/>
      <c r="HB8" s="254"/>
      <c r="HC8" s="254"/>
    </row>
    <row r="9" spans="1:211" ht="15" customHeight="1" x14ac:dyDescent="0.25">
      <c r="A9" s="261" t="s">
        <v>270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1"/>
      <c r="BR9" s="261"/>
      <c r="BS9" s="261"/>
      <c r="BT9" s="261"/>
      <c r="BU9" s="261"/>
      <c r="BV9" s="261"/>
      <c r="BW9" s="261"/>
      <c r="BX9" s="261"/>
      <c r="BY9" s="261"/>
      <c r="BZ9" s="261"/>
      <c r="CA9" s="261"/>
      <c r="CB9" s="261"/>
      <c r="CC9" s="261"/>
      <c r="CD9" s="261"/>
      <c r="CE9" s="261"/>
      <c r="CF9" s="261"/>
      <c r="CG9" s="261"/>
      <c r="CH9" s="261"/>
      <c r="CI9" s="261"/>
      <c r="CJ9" s="261"/>
      <c r="CK9" s="261"/>
      <c r="CL9" s="261"/>
      <c r="CM9" s="261"/>
      <c r="CN9" s="261"/>
      <c r="CO9" s="261"/>
      <c r="CP9" s="261"/>
      <c r="CQ9" s="261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261"/>
      <c r="DF9" s="261"/>
      <c r="DG9" s="261"/>
      <c r="DH9" s="261"/>
      <c r="DI9" s="261"/>
      <c r="DJ9" s="261"/>
      <c r="DK9" s="261"/>
      <c r="DL9" s="261"/>
      <c r="DM9" s="261"/>
      <c r="DN9" s="261"/>
      <c r="DO9" s="261"/>
      <c r="DP9" s="261"/>
      <c r="DQ9" s="261"/>
      <c r="DR9" s="261"/>
      <c r="DS9" s="261"/>
      <c r="DT9" s="261"/>
      <c r="DU9" s="261"/>
      <c r="DV9" s="261"/>
      <c r="DW9" s="261"/>
      <c r="DX9" s="261"/>
      <c r="DY9" s="261"/>
      <c r="DZ9" s="261"/>
      <c r="EA9" s="261"/>
      <c r="EB9" s="261"/>
      <c r="EC9" s="261"/>
      <c r="ED9" s="261"/>
      <c r="EE9" s="261"/>
      <c r="EF9" s="261"/>
      <c r="EG9" s="261"/>
      <c r="EH9" s="261"/>
      <c r="EI9" s="261"/>
      <c r="EJ9" s="261"/>
      <c r="EK9" s="261"/>
      <c r="EL9" s="261"/>
      <c r="EM9" s="261"/>
      <c r="EN9" s="261"/>
      <c r="EO9" s="261"/>
      <c r="EP9" s="261"/>
      <c r="EQ9" s="261"/>
      <c r="ER9" s="261"/>
      <c r="ES9" s="261"/>
      <c r="ET9" s="261"/>
      <c r="EU9" s="261"/>
      <c r="EV9" s="261"/>
      <c r="EW9" s="261"/>
      <c r="EX9" s="261"/>
      <c r="EY9" s="261"/>
      <c r="EZ9" s="261"/>
      <c r="FA9" s="261"/>
      <c r="FB9" s="261"/>
      <c r="FC9" s="261"/>
      <c r="FD9" s="261"/>
      <c r="FE9" s="261"/>
      <c r="FF9" s="261"/>
      <c r="FG9" s="254"/>
      <c r="FH9" s="254"/>
      <c r="FI9" s="254"/>
      <c r="FJ9" s="254"/>
      <c r="FK9" s="254"/>
      <c r="FL9" s="254"/>
      <c r="FM9" s="254"/>
      <c r="FN9" s="254"/>
      <c r="FO9" s="254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4"/>
      <c r="GF9" s="254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4"/>
      <c r="GW9" s="254"/>
      <c r="GX9" s="254"/>
      <c r="GY9" s="254"/>
      <c r="GZ9" s="255" t="s">
        <v>101</v>
      </c>
      <c r="HA9" s="254" t="s">
        <v>102</v>
      </c>
      <c r="HB9" s="254"/>
      <c r="HC9" s="254"/>
    </row>
    <row r="10" spans="1:211" ht="15" customHeight="1" x14ac:dyDescent="0.25">
      <c r="A10" s="261" t="s">
        <v>271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261"/>
      <c r="BM10" s="261"/>
      <c r="BN10" s="261"/>
      <c r="BO10" s="261"/>
      <c r="BP10" s="261"/>
      <c r="BQ10" s="261"/>
      <c r="BR10" s="261"/>
      <c r="BS10" s="261"/>
      <c r="BT10" s="261"/>
      <c r="BU10" s="261"/>
      <c r="BV10" s="261"/>
      <c r="BW10" s="261"/>
      <c r="BX10" s="261"/>
      <c r="BY10" s="261"/>
      <c r="BZ10" s="261"/>
      <c r="CA10" s="261"/>
      <c r="CB10" s="261"/>
      <c r="CC10" s="261"/>
      <c r="CD10" s="261"/>
      <c r="CE10" s="261"/>
      <c r="CF10" s="261"/>
      <c r="CG10" s="261"/>
      <c r="CH10" s="261"/>
      <c r="CI10" s="261"/>
      <c r="CJ10" s="261"/>
      <c r="CK10" s="261"/>
      <c r="CL10" s="261"/>
      <c r="CM10" s="261"/>
      <c r="CN10" s="261"/>
      <c r="CO10" s="261"/>
      <c r="CP10" s="261"/>
      <c r="CQ10" s="261"/>
      <c r="CR10" s="261"/>
      <c r="CS10" s="261"/>
      <c r="CT10" s="261"/>
      <c r="CU10" s="261"/>
      <c r="CV10" s="261"/>
      <c r="CW10" s="261"/>
      <c r="CX10" s="261"/>
      <c r="CY10" s="261"/>
      <c r="CZ10" s="261"/>
      <c r="DA10" s="261"/>
      <c r="DB10" s="261"/>
      <c r="DC10" s="261"/>
      <c r="DD10" s="261"/>
      <c r="DE10" s="261"/>
      <c r="DF10" s="261"/>
      <c r="DG10" s="261"/>
      <c r="DH10" s="261"/>
      <c r="DI10" s="261"/>
      <c r="DJ10" s="261"/>
      <c r="DK10" s="261"/>
      <c r="DL10" s="261"/>
      <c r="DM10" s="261"/>
      <c r="DN10" s="261"/>
      <c r="DO10" s="261"/>
      <c r="DP10" s="261"/>
      <c r="DQ10" s="261"/>
      <c r="DR10" s="261"/>
      <c r="DS10" s="261"/>
      <c r="DT10" s="261"/>
      <c r="DU10" s="261"/>
      <c r="DV10" s="261"/>
      <c r="DW10" s="261"/>
      <c r="DX10" s="261"/>
      <c r="DY10" s="261"/>
      <c r="DZ10" s="261"/>
      <c r="EA10" s="261"/>
      <c r="EB10" s="261"/>
      <c r="EC10" s="261"/>
      <c r="ED10" s="261"/>
      <c r="EE10" s="261"/>
      <c r="EF10" s="261"/>
      <c r="EG10" s="261"/>
      <c r="EH10" s="261"/>
      <c r="EI10" s="261"/>
      <c r="EJ10" s="261"/>
      <c r="EK10" s="261"/>
      <c r="EL10" s="261"/>
      <c r="EM10" s="261"/>
      <c r="EN10" s="261"/>
      <c r="EO10" s="261"/>
      <c r="EP10" s="261"/>
      <c r="EQ10" s="261"/>
      <c r="ER10" s="261"/>
      <c r="ES10" s="261"/>
      <c r="ET10" s="261"/>
      <c r="EU10" s="261"/>
      <c r="EV10" s="261"/>
      <c r="EW10" s="261"/>
      <c r="EX10" s="261"/>
      <c r="EY10" s="261"/>
      <c r="EZ10" s="261"/>
      <c r="FA10" s="261"/>
      <c r="FB10" s="261"/>
      <c r="FC10" s="261"/>
      <c r="FD10" s="261"/>
      <c r="FE10" s="261"/>
      <c r="FF10" s="261"/>
      <c r="FG10" s="254"/>
      <c r="FH10" s="254"/>
      <c r="FI10" s="254"/>
      <c r="FJ10" s="254"/>
      <c r="FK10" s="254"/>
      <c r="FL10" s="254"/>
      <c r="FM10" s="254"/>
      <c r="FN10" s="254"/>
      <c r="FO10" s="254"/>
      <c r="FP10" s="254"/>
      <c r="FQ10" s="254"/>
      <c r="FR10" s="254"/>
      <c r="FS10" s="254"/>
      <c r="FT10" s="254"/>
      <c r="FU10" s="254"/>
      <c r="FV10" s="254"/>
      <c r="FW10" s="254"/>
      <c r="FX10" s="254"/>
      <c r="FY10" s="254"/>
      <c r="FZ10" s="254"/>
      <c r="GA10" s="254"/>
      <c r="GB10" s="254"/>
      <c r="GC10" s="254"/>
      <c r="GD10" s="254"/>
      <c r="GE10" s="254"/>
      <c r="GF10" s="254"/>
      <c r="GG10" s="254"/>
      <c r="GH10" s="254"/>
      <c r="GI10" s="254"/>
      <c r="GJ10" s="254"/>
      <c r="GK10" s="254"/>
      <c r="GL10" s="254"/>
      <c r="GM10" s="254"/>
      <c r="GN10" s="254"/>
      <c r="GO10" s="254"/>
      <c r="GP10" s="254"/>
      <c r="GQ10" s="254"/>
      <c r="GR10" s="254"/>
      <c r="GS10" s="254"/>
      <c r="GT10" s="254"/>
      <c r="GU10" s="254"/>
      <c r="GV10" s="254"/>
      <c r="GW10" s="254"/>
      <c r="GX10" s="254"/>
      <c r="GY10" s="254"/>
      <c r="GZ10" s="254"/>
      <c r="HA10" s="254"/>
      <c r="HB10" s="254"/>
      <c r="HC10" s="254"/>
    </row>
    <row r="11" spans="1:211" ht="15" customHeight="1" x14ac:dyDescent="0.25">
      <c r="A11" s="261" t="s">
        <v>272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1"/>
      <c r="BK11" s="261"/>
      <c r="BL11" s="261"/>
      <c r="BM11" s="261"/>
      <c r="BN11" s="261"/>
      <c r="BO11" s="261"/>
      <c r="BP11" s="261"/>
      <c r="BQ11" s="261"/>
      <c r="BR11" s="261"/>
      <c r="BS11" s="261"/>
      <c r="BT11" s="261"/>
      <c r="BU11" s="261"/>
      <c r="BV11" s="261"/>
      <c r="BW11" s="261"/>
      <c r="BX11" s="261"/>
      <c r="BY11" s="261"/>
      <c r="BZ11" s="261"/>
      <c r="CA11" s="261"/>
      <c r="CB11" s="261"/>
      <c r="CC11" s="261"/>
      <c r="CD11" s="261"/>
      <c r="CE11" s="261"/>
      <c r="CF11" s="261"/>
      <c r="CG11" s="261"/>
      <c r="CH11" s="261"/>
      <c r="CI11" s="261"/>
      <c r="CJ11" s="261"/>
      <c r="CK11" s="261"/>
      <c r="CL11" s="261"/>
      <c r="CM11" s="261"/>
      <c r="CN11" s="261"/>
      <c r="CO11" s="261"/>
      <c r="CP11" s="261"/>
      <c r="CQ11" s="261"/>
      <c r="CR11" s="261"/>
      <c r="CS11" s="261"/>
      <c r="CT11" s="261"/>
      <c r="CU11" s="261"/>
      <c r="CV11" s="261"/>
      <c r="CW11" s="261"/>
      <c r="CX11" s="261"/>
      <c r="CY11" s="261"/>
      <c r="CZ11" s="261"/>
      <c r="DA11" s="261"/>
      <c r="DB11" s="261"/>
      <c r="DC11" s="261"/>
      <c r="DD11" s="261"/>
      <c r="DE11" s="261"/>
      <c r="DF11" s="261"/>
      <c r="DG11" s="261"/>
      <c r="DH11" s="261"/>
      <c r="DI11" s="261"/>
      <c r="DJ11" s="261"/>
      <c r="DK11" s="261"/>
      <c r="DL11" s="261"/>
      <c r="DM11" s="261"/>
      <c r="DN11" s="261"/>
      <c r="DO11" s="261"/>
      <c r="DP11" s="261"/>
      <c r="DQ11" s="261"/>
      <c r="DR11" s="261"/>
      <c r="DS11" s="261"/>
      <c r="DT11" s="261"/>
      <c r="DU11" s="261"/>
      <c r="DV11" s="261"/>
      <c r="DW11" s="261"/>
      <c r="DX11" s="261"/>
      <c r="DY11" s="261"/>
      <c r="DZ11" s="261"/>
      <c r="EA11" s="261"/>
      <c r="EB11" s="261"/>
      <c r="EC11" s="261"/>
      <c r="ED11" s="261"/>
      <c r="EE11" s="261"/>
      <c r="EF11" s="261"/>
      <c r="EG11" s="261"/>
      <c r="EH11" s="261"/>
      <c r="EI11" s="261"/>
      <c r="EJ11" s="261"/>
      <c r="EK11" s="261"/>
      <c r="EL11" s="261"/>
      <c r="EM11" s="261"/>
      <c r="EN11" s="261"/>
      <c r="EO11" s="261"/>
      <c r="EP11" s="261"/>
      <c r="EQ11" s="261"/>
      <c r="ER11" s="261"/>
      <c r="ES11" s="261"/>
      <c r="ET11" s="261"/>
      <c r="EU11" s="261"/>
      <c r="EV11" s="261"/>
      <c r="EW11" s="261"/>
      <c r="EX11" s="261"/>
      <c r="EY11" s="261"/>
      <c r="EZ11" s="261"/>
      <c r="FA11" s="261"/>
      <c r="FB11" s="261"/>
      <c r="FC11" s="261"/>
      <c r="FD11" s="261"/>
      <c r="FE11" s="261"/>
      <c r="FF11" s="261"/>
      <c r="FG11" s="254"/>
      <c r="FH11" s="254"/>
      <c r="FI11" s="254"/>
      <c r="FJ11" s="254"/>
      <c r="FK11" s="254"/>
      <c r="FL11" s="254"/>
      <c r="FM11" s="254"/>
      <c r="FN11" s="254"/>
      <c r="FO11" s="254"/>
      <c r="FP11" s="254"/>
      <c r="FQ11" s="254"/>
      <c r="FR11" s="254"/>
      <c r="FS11" s="254"/>
      <c r="FT11" s="254"/>
      <c r="FU11" s="254"/>
      <c r="FV11" s="254"/>
      <c r="FW11" s="254"/>
      <c r="FX11" s="254"/>
      <c r="FY11" s="254"/>
      <c r="FZ11" s="254"/>
      <c r="GA11" s="254"/>
      <c r="GB11" s="254"/>
      <c r="GC11" s="254"/>
      <c r="GD11" s="254"/>
      <c r="GE11" s="254"/>
      <c r="GF11" s="254"/>
      <c r="GG11" s="254"/>
      <c r="GH11" s="254"/>
      <c r="GI11" s="254"/>
      <c r="GJ11" s="254"/>
      <c r="GK11" s="254"/>
      <c r="GL11" s="254"/>
      <c r="GM11" s="254"/>
      <c r="GN11" s="254"/>
      <c r="GO11" s="254"/>
      <c r="GP11" s="254"/>
      <c r="GQ11" s="254"/>
      <c r="GR11" s="254"/>
      <c r="GS11" s="254"/>
      <c r="GT11" s="254"/>
      <c r="GU11" s="254"/>
      <c r="GV11" s="254"/>
      <c r="GW11" s="254"/>
      <c r="GX11" s="254"/>
      <c r="GY11" s="254"/>
      <c r="GZ11" s="254"/>
      <c r="HA11" s="254"/>
      <c r="HB11" s="254"/>
      <c r="HC11" s="254"/>
    </row>
    <row r="12" spans="1:211" ht="15" customHeight="1" x14ac:dyDescent="0.25">
      <c r="A12" s="261" t="s">
        <v>282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54"/>
      <c r="FH12" s="254"/>
      <c r="FI12" s="254"/>
      <c r="FJ12" s="254"/>
      <c r="FK12" s="254"/>
      <c r="FL12" s="254"/>
      <c r="FM12" s="254"/>
      <c r="FN12" s="254"/>
      <c r="FO12" s="254"/>
      <c r="FP12" s="254"/>
      <c r="FQ12" s="254"/>
      <c r="FR12" s="254"/>
      <c r="FS12" s="254"/>
      <c r="FT12" s="254"/>
      <c r="FU12" s="254"/>
      <c r="FV12" s="254"/>
      <c r="FW12" s="254"/>
      <c r="FX12" s="254"/>
      <c r="FY12" s="254"/>
      <c r="FZ12" s="254"/>
      <c r="GA12" s="254"/>
      <c r="GB12" s="254"/>
      <c r="GC12" s="254"/>
      <c r="GD12" s="254"/>
      <c r="GE12" s="254"/>
      <c r="GF12" s="254"/>
      <c r="GG12" s="254"/>
      <c r="GH12" s="254"/>
      <c r="GI12" s="254"/>
      <c r="GJ12" s="254"/>
      <c r="GK12" s="254"/>
      <c r="GL12" s="254"/>
      <c r="GM12" s="254"/>
      <c r="GN12" s="254"/>
      <c r="GO12" s="254"/>
      <c r="GP12" s="254"/>
      <c r="GQ12" s="254"/>
      <c r="GR12" s="254"/>
      <c r="GS12" s="254"/>
      <c r="GT12" s="254"/>
      <c r="GU12" s="254"/>
      <c r="GV12" s="254"/>
      <c r="GW12" s="254"/>
      <c r="GX12" s="254"/>
      <c r="GY12" s="254"/>
      <c r="GZ12" s="255" t="s">
        <v>101</v>
      </c>
      <c r="HA12" s="254" t="s">
        <v>102</v>
      </c>
      <c r="HB12" s="254"/>
      <c r="HC12" s="254"/>
    </row>
    <row r="13" spans="1:211" ht="15" customHeight="1" x14ac:dyDescent="0.25">
      <c r="A13" s="261" t="s">
        <v>283</v>
      </c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1"/>
      <c r="BK13" s="261"/>
      <c r="BL13" s="261"/>
      <c r="BM13" s="261"/>
      <c r="BN13" s="261"/>
      <c r="BO13" s="261"/>
      <c r="BP13" s="261"/>
      <c r="BQ13" s="261"/>
      <c r="BR13" s="261"/>
      <c r="BS13" s="261"/>
      <c r="BT13" s="261"/>
      <c r="BU13" s="261"/>
      <c r="BV13" s="261"/>
      <c r="BW13" s="261"/>
      <c r="BX13" s="261"/>
      <c r="BY13" s="261"/>
      <c r="BZ13" s="261"/>
      <c r="CA13" s="261"/>
      <c r="CB13" s="261"/>
      <c r="CC13" s="261"/>
      <c r="CD13" s="261"/>
      <c r="CE13" s="261"/>
      <c r="CF13" s="261"/>
      <c r="CG13" s="261"/>
      <c r="CH13" s="261"/>
      <c r="CI13" s="261"/>
      <c r="CJ13" s="261"/>
      <c r="CK13" s="261"/>
      <c r="CL13" s="261"/>
      <c r="CM13" s="261"/>
      <c r="CN13" s="261"/>
      <c r="CO13" s="261"/>
      <c r="CP13" s="261"/>
      <c r="CQ13" s="261"/>
      <c r="CR13" s="261"/>
      <c r="CS13" s="261"/>
      <c r="CT13" s="261"/>
      <c r="CU13" s="261"/>
      <c r="CV13" s="261"/>
      <c r="CW13" s="261"/>
      <c r="CX13" s="261"/>
      <c r="CY13" s="261"/>
      <c r="CZ13" s="261"/>
      <c r="DA13" s="261"/>
      <c r="DB13" s="261"/>
      <c r="DC13" s="261"/>
      <c r="DD13" s="261"/>
      <c r="DE13" s="261"/>
      <c r="DF13" s="261"/>
      <c r="DG13" s="261"/>
      <c r="DH13" s="261"/>
      <c r="DI13" s="261"/>
      <c r="DJ13" s="261"/>
      <c r="DK13" s="261"/>
      <c r="DL13" s="261"/>
      <c r="DM13" s="261"/>
      <c r="DN13" s="261"/>
      <c r="DO13" s="261"/>
      <c r="DP13" s="261"/>
      <c r="DQ13" s="261"/>
      <c r="DR13" s="261"/>
      <c r="DS13" s="261"/>
      <c r="DT13" s="261"/>
      <c r="DU13" s="261"/>
      <c r="DV13" s="261"/>
      <c r="DW13" s="261"/>
      <c r="DX13" s="261"/>
      <c r="DY13" s="261"/>
      <c r="DZ13" s="261"/>
      <c r="EA13" s="261"/>
      <c r="EB13" s="261"/>
      <c r="EC13" s="261"/>
      <c r="ED13" s="261"/>
      <c r="EE13" s="261"/>
      <c r="EF13" s="261"/>
      <c r="EG13" s="261"/>
      <c r="EH13" s="261"/>
      <c r="EI13" s="261"/>
      <c r="EJ13" s="261"/>
      <c r="EK13" s="261"/>
      <c r="EL13" s="261"/>
      <c r="EM13" s="261"/>
      <c r="EN13" s="261"/>
      <c r="EO13" s="261"/>
      <c r="EP13" s="261"/>
      <c r="EQ13" s="261"/>
      <c r="ER13" s="261"/>
      <c r="ES13" s="261"/>
      <c r="ET13" s="261"/>
      <c r="EU13" s="261"/>
      <c r="EV13" s="261"/>
      <c r="EW13" s="261"/>
      <c r="EX13" s="261"/>
      <c r="EY13" s="261"/>
      <c r="EZ13" s="261"/>
      <c r="FA13" s="261"/>
      <c r="FB13" s="261"/>
      <c r="FC13" s="261"/>
      <c r="FD13" s="261"/>
      <c r="FE13" s="261"/>
      <c r="FF13" s="261"/>
      <c r="FG13" s="254"/>
      <c r="FH13" s="254"/>
      <c r="FI13" s="254"/>
      <c r="FJ13" s="254"/>
      <c r="FK13" s="254"/>
      <c r="FL13" s="254"/>
      <c r="FM13" s="254"/>
      <c r="FN13" s="254"/>
      <c r="FO13" s="254"/>
      <c r="FP13" s="254"/>
      <c r="FQ13" s="254"/>
      <c r="FR13" s="254"/>
      <c r="FS13" s="254"/>
      <c r="FT13" s="254"/>
      <c r="FU13" s="254"/>
      <c r="FV13" s="254"/>
      <c r="FW13" s="254"/>
      <c r="FX13" s="254"/>
      <c r="FY13" s="254"/>
      <c r="FZ13" s="254"/>
      <c r="GA13" s="254"/>
      <c r="GB13" s="254"/>
      <c r="GC13" s="254"/>
      <c r="GD13" s="254"/>
      <c r="GE13" s="254"/>
      <c r="GF13" s="254"/>
      <c r="GG13" s="254"/>
      <c r="GH13" s="254"/>
      <c r="GI13" s="254"/>
      <c r="GJ13" s="254"/>
      <c r="GK13" s="254"/>
      <c r="GL13" s="254"/>
      <c r="GM13" s="254"/>
      <c r="GN13" s="254"/>
      <c r="GO13" s="254"/>
      <c r="GP13" s="254"/>
      <c r="GQ13" s="254"/>
      <c r="GR13" s="254"/>
      <c r="GS13" s="254"/>
      <c r="GT13" s="254"/>
      <c r="GU13" s="254"/>
      <c r="GV13" s="254"/>
      <c r="GW13" s="254"/>
      <c r="GX13" s="254"/>
      <c r="GY13" s="254"/>
      <c r="GZ13" s="255" t="s">
        <v>285</v>
      </c>
      <c r="HA13" s="254" t="s">
        <v>284</v>
      </c>
      <c r="HB13" s="254"/>
      <c r="HC13" s="254"/>
    </row>
    <row r="14" spans="1:211" ht="15" customHeight="1" x14ac:dyDescent="0.25">
      <c r="A14" s="261" t="s">
        <v>286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261"/>
      <c r="BM14" s="261"/>
      <c r="BN14" s="261"/>
      <c r="BO14" s="261"/>
      <c r="BP14" s="261"/>
      <c r="BQ14" s="261"/>
      <c r="BR14" s="261"/>
      <c r="BS14" s="261"/>
      <c r="BT14" s="261"/>
      <c r="BU14" s="261"/>
      <c r="BV14" s="261"/>
      <c r="BW14" s="261"/>
      <c r="BX14" s="261"/>
      <c r="BY14" s="261"/>
      <c r="BZ14" s="261"/>
      <c r="CA14" s="261"/>
      <c r="CB14" s="261"/>
      <c r="CC14" s="261"/>
      <c r="CD14" s="261"/>
      <c r="CE14" s="261"/>
      <c r="CF14" s="261"/>
      <c r="CG14" s="261"/>
      <c r="CH14" s="261"/>
      <c r="CI14" s="261"/>
      <c r="CJ14" s="261"/>
      <c r="CK14" s="261"/>
      <c r="CL14" s="261"/>
      <c r="CM14" s="261"/>
      <c r="CN14" s="261"/>
      <c r="CO14" s="261"/>
      <c r="CP14" s="261"/>
      <c r="CQ14" s="261"/>
      <c r="CR14" s="261"/>
      <c r="CS14" s="261"/>
      <c r="CT14" s="261"/>
      <c r="CU14" s="261"/>
      <c r="CV14" s="261"/>
      <c r="CW14" s="261"/>
      <c r="CX14" s="261"/>
      <c r="CY14" s="261"/>
      <c r="CZ14" s="261"/>
      <c r="DA14" s="261"/>
      <c r="DB14" s="261"/>
      <c r="DC14" s="261"/>
      <c r="DD14" s="261"/>
      <c r="DE14" s="261"/>
      <c r="DF14" s="261"/>
      <c r="DG14" s="261"/>
      <c r="DH14" s="261"/>
      <c r="DI14" s="261"/>
      <c r="DJ14" s="261"/>
      <c r="DK14" s="261"/>
      <c r="DL14" s="261"/>
      <c r="DM14" s="261"/>
      <c r="DN14" s="261"/>
      <c r="DO14" s="261"/>
      <c r="DP14" s="261"/>
      <c r="DQ14" s="261"/>
      <c r="DR14" s="261"/>
      <c r="DS14" s="261"/>
      <c r="DT14" s="261"/>
      <c r="DU14" s="261"/>
      <c r="DV14" s="261"/>
      <c r="DW14" s="261"/>
      <c r="DX14" s="261"/>
      <c r="DY14" s="261"/>
      <c r="DZ14" s="261"/>
      <c r="EA14" s="261"/>
      <c r="EB14" s="261"/>
      <c r="EC14" s="261"/>
      <c r="ED14" s="261"/>
      <c r="EE14" s="261"/>
      <c r="EF14" s="261"/>
      <c r="EG14" s="261"/>
      <c r="EH14" s="261"/>
      <c r="EI14" s="261"/>
      <c r="EJ14" s="261"/>
      <c r="EK14" s="261"/>
      <c r="EL14" s="261"/>
      <c r="EM14" s="261"/>
      <c r="EN14" s="261"/>
      <c r="EO14" s="261"/>
      <c r="EP14" s="261"/>
      <c r="EQ14" s="261"/>
      <c r="ER14" s="261"/>
      <c r="ES14" s="261"/>
      <c r="ET14" s="261"/>
      <c r="EU14" s="261"/>
      <c r="EV14" s="261"/>
      <c r="EW14" s="261"/>
      <c r="EX14" s="261"/>
      <c r="EY14" s="261"/>
      <c r="EZ14" s="261"/>
      <c r="FA14" s="261"/>
      <c r="FB14" s="261"/>
      <c r="FC14" s="261"/>
      <c r="FD14" s="261"/>
      <c r="FE14" s="261"/>
      <c r="FF14" s="261"/>
      <c r="FG14" s="254"/>
      <c r="FH14" s="254"/>
      <c r="FI14" s="254"/>
      <c r="FJ14" s="254"/>
      <c r="FK14" s="254"/>
      <c r="FL14" s="254"/>
      <c r="FM14" s="254"/>
      <c r="FN14" s="254"/>
      <c r="FO14" s="254"/>
      <c r="FP14" s="254"/>
      <c r="FQ14" s="254"/>
      <c r="FR14" s="254"/>
      <c r="FS14" s="254"/>
      <c r="FT14" s="254"/>
      <c r="FU14" s="254"/>
      <c r="FV14" s="254"/>
      <c r="FW14" s="254"/>
      <c r="FX14" s="254"/>
      <c r="FY14" s="254"/>
      <c r="FZ14" s="254"/>
      <c r="GA14" s="254"/>
      <c r="GB14" s="254"/>
      <c r="GC14" s="254"/>
      <c r="GD14" s="254"/>
      <c r="GE14" s="254"/>
      <c r="GF14" s="254"/>
      <c r="GG14" s="254"/>
      <c r="GH14" s="254"/>
      <c r="GI14" s="254"/>
      <c r="GJ14" s="254"/>
      <c r="GK14" s="254"/>
      <c r="GL14" s="254"/>
      <c r="GM14" s="254"/>
      <c r="GN14" s="254"/>
      <c r="GO14" s="254"/>
      <c r="GP14" s="254"/>
      <c r="GQ14" s="254"/>
      <c r="GR14" s="254"/>
      <c r="GS14" s="254"/>
      <c r="GT14" s="254"/>
      <c r="GU14" s="254"/>
      <c r="GV14" s="254"/>
      <c r="GW14" s="254"/>
      <c r="GX14" s="254"/>
      <c r="GY14" s="254"/>
      <c r="GZ14" s="254"/>
      <c r="HA14" s="254">
        <v>1</v>
      </c>
      <c r="HB14" s="254"/>
      <c r="HC14" s="254"/>
    </row>
    <row r="15" spans="1:211" ht="15" customHeight="1" x14ac:dyDescent="0.25">
      <c r="A15" s="261" t="s">
        <v>287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54"/>
      <c r="FH15" s="254"/>
      <c r="FI15" s="254"/>
      <c r="FJ15" s="254"/>
      <c r="FK15" s="254"/>
      <c r="FL15" s="254"/>
      <c r="FM15" s="254"/>
      <c r="FN15" s="254"/>
      <c r="FO15" s="254"/>
      <c r="FP15" s="254"/>
      <c r="FQ15" s="254"/>
      <c r="FR15" s="254"/>
      <c r="FS15" s="254"/>
      <c r="FT15" s="254"/>
      <c r="FU15" s="254"/>
      <c r="FV15" s="254"/>
      <c r="FW15" s="254"/>
      <c r="FX15" s="254"/>
      <c r="FY15" s="254"/>
      <c r="FZ15" s="254"/>
      <c r="GA15" s="254"/>
      <c r="GB15" s="254"/>
      <c r="GC15" s="254"/>
      <c r="GD15" s="254"/>
      <c r="GE15" s="254"/>
      <c r="GF15" s="254"/>
      <c r="GG15" s="254"/>
      <c r="GH15" s="254"/>
      <c r="GI15" s="254"/>
      <c r="GJ15" s="254"/>
      <c r="GK15" s="254"/>
      <c r="GL15" s="254"/>
      <c r="GM15" s="254"/>
      <c r="GN15" s="254"/>
      <c r="GO15" s="254"/>
      <c r="GP15" s="254"/>
      <c r="GQ15" s="254"/>
      <c r="GR15" s="254"/>
      <c r="GS15" s="254"/>
      <c r="GT15" s="254"/>
      <c r="GU15" s="254"/>
      <c r="GV15" s="254"/>
      <c r="GW15" s="254"/>
      <c r="GX15" s="254"/>
      <c r="GY15" s="254"/>
      <c r="GZ15" s="254"/>
      <c r="HA15" s="254">
        <v>1</v>
      </c>
      <c r="HB15" s="254"/>
      <c r="HC15" s="254"/>
    </row>
    <row r="16" spans="1:211" ht="15" customHeight="1" x14ac:dyDescent="0.25">
      <c r="A16" s="261" t="s">
        <v>274</v>
      </c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261"/>
      <c r="BM16" s="261"/>
      <c r="BN16" s="261"/>
      <c r="BO16" s="261"/>
      <c r="BP16" s="261"/>
      <c r="BQ16" s="261"/>
      <c r="BR16" s="261"/>
      <c r="BS16" s="261"/>
      <c r="BT16" s="261"/>
      <c r="BU16" s="261"/>
      <c r="BV16" s="261"/>
      <c r="BW16" s="261"/>
      <c r="BX16" s="261"/>
      <c r="BY16" s="261"/>
      <c r="BZ16" s="261"/>
      <c r="CA16" s="261"/>
      <c r="CB16" s="261"/>
      <c r="CC16" s="261"/>
      <c r="CD16" s="261"/>
      <c r="CE16" s="261"/>
      <c r="CF16" s="261"/>
      <c r="CG16" s="261"/>
      <c r="CH16" s="261"/>
      <c r="CI16" s="261"/>
      <c r="CJ16" s="261"/>
      <c r="CK16" s="261"/>
      <c r="CL16" s="261"/>
      <c r="CM16" s="261"/>
      <c r="CN16" s="261"/>
      <c r="CO16" s="261"/>
      <c r="CP16" s="261"/>
      <c r="CQ16" s="261"/>
      <c r="CR16" s="261"/>
      <c r="CS16" s="261"/>
      <c r="CT16" s="261"/>
      <c r="CU16" s="261"/>
      <c r="CV16" s="261"/>
      <c r="CW16" s="261"/>
      <c r="CX16" s="261"/>
      <c r="CY16" s="261"/>
      <c r="CZ16" s="261"/>
      <c r="DA16" s="261"/>
      <c r="DB16" s="261"/>
      <c r="DC16" s="261"/>
      <c r="DD16" s="261"/>
      <c r="DE16" s="261"/>
      <c r="DF16" s="261"/>
      <c r="DG16" s="261"/>
      <c r="DH16" s="261"/>
      <c r="DI16" s="261"/>
      <c r="DJ16" s="261"/>
      <c r="DK16" s="261"/>
      <c r="DL16" s="261"/>
      <c r="DM16" s="261"/>
      <c r="DN16" s="261"/>
      <c r="DO16" s="261"/>
      <c r="DP16" s="261"/>
      <c r="DQ16" s="261"/>
      <c r="DR16" s="261"/>
      <c r="DS16" s="261"/>
      <c r="DT16" s="261"/>
      <c r="DU16" s="261"/>
      <c r="DV16" s="261"/>
      <c r="DW16" s="261"/>
      <c r="DX16" s="261"/>
      <c r="DY16" s="261"/>
      <c r="DZ16" s="261"/>
      <c r="EA16" s="261"/>
      <c r="EB16" s="261"/>
      <c r="EC16" s="261"/>
      <c r="ED16" s="261"/>
      <c r="EE16" s="261"/>
      <c r="EF16" s="261"/>
      <c r="EG16" s="261"/>
      <c r="EH16" s="261"/>
      <c r="EI16" s="261"/>
      <c r="EJ16" s="261"/>
      <c r="EK16" s="261"/>
      <c r="EL16" s="261"/>
      <c r="EM16" s="261"/>
      <c r="EN16" s="261"/>
      <c r="EO16" s="261"/>
      <c r="EP16" s="261"/>
      <c r="EQ16" s="261"/>
      <c r="ER16" s="261"/>
      <c r="ES16" s="261"/>
      <c r="ET16" s="261"/>
      <c r="EU16" s="261"/>
      <c r="EV16" s="261"/>
      <c r="EW16" s="261"/>
      <c r="EX16" s="261"/>
      <c r="EY16" s="261"/>
      <c r="EZ16" s="261"/>
      <c r="FA16" s="261"/>
      <c r="FB16" s="261"/>
      <c r="FC16" s="261"/>
      <c r="FD16" s="261"/>
      <c r="FE16" s="261"/>
      <c r="FF16" s="261"/>
      <c r="FG16" s="254"/>
      <c r="FH16" s="254"/>
      <c r="FI16" s="254"/>
      <c r="FJ16" s="254"/>
      <c r="FK16" s="254"/>
      <c r="FL16" s="254"/>
      <c r="FM16" s="254"/>
      <c r="FN16" s="254"/>
      <c r="FO16" s="254"/>
      <c r="FP16" s="254"/>
      <c r="FQ16" s="254"/>
      <c r="FR16" s="254"/>
      <c r="FS16" s="254"/>
      <c r="FT16" s="254"/>
      <c r="FU16" s="254"/>
      <c r="FV16" s="254"/>
      <c r="FW16" s="254"/>
      <c r="FX16" s="254"/>
      <c r="FY16" s="254"/>
      <c r="FZ16" s="254"/>
      <c r="GA16" s="254"/>
      <c r="GB16" s="254"/>
      <c r="GC16" s="254"/>
      <c r="GD16" s="254"/>
      <c r="GE16" s="254"/>
      <c r="GF16" s="254"/>
      <c r="GG16" s="254"/>
      <c r="GH16" s="254"/>
      <c r="GI16" s="254"/>
      <c r="GJ16" s="254"/>
      <c r="GK16" s="254"/>
      <c r="GL16" s="254"/>
      <c r="GM16" s="254"/>
      <c r="GN16" s="254"/>
      <c r="GO16" s="254"/>
      <c r="GP16" s="254"/>
      <c r="GQ16" s="254"/>
      <c r="GR16" s="254"/>
      <c r="GS16" s="254"/>
      <c r="GT16" s="254"/>
      <c r="GU16" s="254"/>
      <c r="GV16" s="254"/>
      <c r="GW16" s="254"/>
      <c r="GX16" s="254"/>
      <c r="GY16" s="254"/>
      <c r="GZ16" s="255" t="s">
        <v>97</v>
      </c>
      <c r="HA16" s="254" t="s">
        <v>98</v>
      </c>
      <c r="HB16" s="254"/>
      <c r="HC16" s="254"/>
    </row>
    <row r="17" spans="1:211" ht="15" customHeight="1" x14ac:dyDescent="0.25">
      <c r="A17" s="261" t="s">
        <v>275</v>
      </c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261"/>
      <c r="EF17" s="261"/>
      <c r="EG17" s="261"/>
      <c r="EH17" s="261"/>
      <c r="EI17" s="261"/>
      <c r="EJ17" s="261"/>
      <c r="EK17" s="261"/>
      <c r="EL17" s="261"/>
      <c r="EM17" s="261"/>
      <c r="EN17" s="261"/>
      <c r="EO17" s="261"/>
      <c r="EP17" s="261"/>
      <c r="EQ17" s="261"/>
      <c r="ER17" s="261"/>
      <c r="ES17" s="261"/>
      <c r="ET17" s="261"/>
      <c r="EU17" s="261"/>
      <c r="EV17" s="261"/>
      <c r="EW17" s="261"/>
      <c r="EX17" s="261"/>
      <c r="EY17" s="261"/>
      <c r="EZ17" s="261"/>
      <c r="FA17" s="261"/>
      <c r="FB17" s="261"/>
      <c r="FC17" s="261"/>
      <c r="FD17" s="261"/>
      <c r="FE17" s="261"/>
      <c r="FF17" s="261"/>
      <c r="FG17" s="254"/>
      <c r="FH17" s="254"/>
      <c r="FI17" s="254"/>
      <c r="FJ17" s="254"/>
      <c r="FK17" s="254"/>
      <c r="FL17" s="254"/>
      <c r="FM17" s="254"/>
      <c r="FN17" s="254"/>
      <c r="FO17" s="254"/>
      <c r="FP17" s="254"/>
      <c r="FQ17" s="254"/>
      <c r="FR17" s="254"/>
      <c r="FS17" s="254"/>
      <c r="FT17" s="254"/>
      <c r="FU17" s="254"/>
      <c r="FV17" s="254"/>
      <c r="FW17" s="254"/>
      <c r="FX17" s="254"/>
      <c r="FY17" s="254"/>
      <c r="FZ17" s="254"/>
      <c r="GA17" s="254"/>
      <c r="GB17" s="254"/>
      <c r="GC17" s="254"/>
      <c r="GD17" s="254"/>
      <c r="GE17" s="254"/>
      <c r="GF17" s="254"/>
      <c r="GG17" s="254"/>
      <c r="GH17" s="254"/>
      <c r="GI17" s="254"/>
      <c r="GJ17" s="254"/>
      <c r="GK17" s="254"/>
      <c r="GL17" s="254"/>
      <c r="GM17" s="254"/>
      <c r="GN17" s="254"/>
      <c r="GO17" s="254"/>
      <c r="GP17" s="254"/>
      <c r="GQ17" s="254"/>
      <c r="GR17" s="254"/>
      <c r="GS17" s="254"/>
      <c r="GT17" s="254"/>
      <c r="GU17" s="254"/>
      <c r="GV17" s="254"/>
      <c r="GW17" s="254"/>
      <c r="GX17" s="254"/>
      <c r="GY17" s="254"/>
      <c r="GZ17" s="254"/>
      <c r="HA17" s="254"/>
      <c r="HB17" s="254"/>
      <c r="HC17" s="254"/>
    </row>
    <row r="18" spans="1:211" ht="15" customHeight="1" x14ac:dyDescent="0.25">
      <c r="A18" s="261" t="s">
        <v>276</v>
      </c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261"/>
      <c r="BM18" s="261"/>
      <c r="BN18" s="261"/>
      <c r="BO18" s="261"/>
      <c r="BP18" s="261"/>
      <c r="BQ18" s="261"/>
      <c r="BR18" s="261"/>
      <c r="BS18" s="261"/>
      <c r="BT18" s="261"/>
      <c r="BU18" s="261"/>
      <c r="BV18" s="261"/>
      <c r="BW18" s="261"/>
      <c r="BX18" s="261"/>
      <c r="BY18" s="261"/>
      <c r="BZ18" s="261"/>
      <c r="CA18" s="261"/>
      <c r="CB18" s="261"/>
      <c r="CC18" s="261"/>
      <c r="CD18" s="261"/>
      <c r="CE18" s="261"/>
      <c r="CF18" s="261"/>
      <c r="CG18" s="261"/>
      <c r="CH18" s="261"/>
      <c r="CI18" s="261"/>
      <c r="CJ18" s="261"/>
      <c r="CK18" s="261"/>
      <c r="CL18" s="261"/>
      <c r="CM18" s="261"/>
      <c r="CN18" s="261"/>
      <c r="CO18" s="261"/>
      <c r="CP18" s="261"/>
      <c r="CQ18" s="261"/>
      <c r="CR18" s="261"/>
      <c r="CS18" s="261"/>
      <c r="CT18" s="261"/>
      <c r="CU18" s="261"/>
      <c r="CV18" s="261"/>
      <c r="CW18" s="261"/>
      <c r="CX18" s="261"/>
      <c r="CY18" s="261"/>
      <c r="CZ18" s="261"/>
      <c r="DA18" s="261"/>
      <c r="DB18" s="261"/>
      <c r="DC18" s="261"/>
      <c r="DD18" s="261"/>
      <c r="DE18" s="261"/>
      <c r="DF18" s="261"/>
      <c r="DG18" s="261"/>
      <c r="DH18" s="261"/>
      <c r="DI18" s="261"/>
      <c r="DJ18" s="261"/>
      <c r="DK18" s="261"/>
      <c r="DL18" s="261"/>
      <c r="DM18" s="261"/>
      <c r="DN18" s="261"/>
      <c r="DO18" s="261"/>
      <c r="DP18" s="261"/>
      <c r="DQ18" s="261"/>
      <c r="DR18" s="261"/>
      <c r="DS18" s="261"/>
      <c r="DT18" s="261"/>
      <c r="DU18" s="261"/>
      <c r="DV18" s="261"/>
      <c r="DW18" s="261"/>
      <c r="DX18" s="261"/>
      <c r="DY18" s="261"/>
      <c r="DZ18" s="261"/>
      <c r="EA18" s="261"/>
      <c r="EB18" s="261"/>
      <c r="EC18" s="261"/>
      <c r="ED18" s="261"/>
      <c r="EE18" s="261"/>
      <c r="EF18" s="261"/>
      <c r="EG18" s="261"/>
      <c r="EH18" s="261"/>
      <c r="EI18" s="261"/>
      <c r="EJ18" s="261"/>
      <c r="EK18" s="261"/>
      <c r="EL18" s="261"/>
      <c r="EM18" s="261"/>
      <c r="EN18" s="261"/>
      <c r="EO18" s="261"/>
      <c r="EP18" s="261"/>
      <c r="EQ18" s="261"/>
      <c r="ER18" s="261"/>
      <c r="ES18" s="261"/>
      <c r="ET18" s="261"/>
      <c r="EU18" s="261"/>
      <c r="EV18" s="261"/>
      <c r="EW18" s="261"/>
      <c r="EX18" s="261"/>
      <c r="EY18" s="261"/>
      <c r="EZ18" s="261"/>
      <c r="FA18" s="261"/>
      <c r="FB18" s="261"/>
      <c r="FC18" s="261"/>
      <c r="FD18" s="261"/>
      <c r="FE18" s="261"/>
      <c r="FF18" s="261"/>
      <c r="FG18" s="254"/>
      <c r="FH18" s="254"/>
      <c r="FI18" s="254"/>
      <c r="FJ18" s="254"/>
      <c r="FK18" s="254"/>
      <c r="FL18" s="254"/>
      <c r="FM18" s="254"/>
      <c r="FN18" s="254"/>
      <c r="FO18" s="254"/>
      <c r="FP18" s="254"/>
      <c r="FQ18" s="254"/>
      <c r="FR18" s="254"/>
      <c r="FS18" s="254"/>
      <c r="FT18" s="254"/>
      <c r="FU18" s="254"/>
      <c r="FV18" s="254"/>
      <c r="FW18" s="254"/>
      <c r="FX18" s="254"/>
      <c r="FY18" s="254"/>
      <c r="FZ18" s="254"/>
      <c r="GA18" s="254"/>
      <c r="GB18" s="254"/>
      <c r="GC18" s="254"/>
      <c r="GD18" s="254"/>
      <c r="GE18" s="254"/>
      <c r="GF18" s="254"/>
      <c r="GG18" s="254"/>
      <c r="GH18" s="254"/>
      <c r="GI18" s="254"/>
      <c r="GJ18" s="254"/>
      <c r="GK18" s="254"/>
      <c r="GL18" s="254"/>
      <c r="GM18" s="254"/>
      <c r="GN18" s="254"/>
      <c r="GO18" s="254"/>
      <c r="GP18" s="254"/>
      <c r="GQ18" s="254"/>
      <c r="GR18" s="254"/>
      <c r="GS18" s="254"/>
      <c r="GT18" s="254"/>
      <c r="GU18" s="254"/>
      <c r="GV18" s="254"/>
      <c r="GW18" s="254"/>
      <c r="GX18" s="254"/>
      <c r="GY18" s="254"/>
      <c r="GZ18" s="254"/>
      <c r="HA18" s="254"/>
      <c r="HB18" s="254"/>
      <c r="HC18" s="254"/>
    </row>
    <row r="19" spans="1:211" ht="15" customHeight="1" x14ac:dyDescent="0.25">
      <c r="A19" s="261" t="s">
        <v>233</v>
      </c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54"/>
      <c r="FH19" s="254"/>
      <c r="FI19" s="254"/>
      <c r="FJ19" s="254"/>
      <c r="FK19" s="254"/>
      <c r="FL19" s="254"/>
      <c r="FM19" s="254"/>
      <c r="FN19" s="254"/>
      <c r="FO19" s="254"/>
      <c r="FP19" s="254"/>
      <c r="FQ19" s="254"/>
      <c r="FR19" s="254"/>
      <c r="FS19" s="254"/>
      <c r="FT19" s="254"/>
      <c r="FU19" s="254"/>
      <c r="FV19" s="254"/>
      <c r="FW19" s="254"/>
      <c r="FX19" s="254"/>
      <c r="FY19" s="254"/>
      <c r="FZ19" s="254"/>
      <c r="GA19" s="254"/>
      <c r="GB19" s="254"/>
      <c r="GC19" s="254"/>
      <c r="GD19" s="254"/>
      <c r="GE19" s="254"/>
      <c r="GF19" s="254"/>
      <c r="GG19" s="254"/>
      <c r="GH19" s="254"/>
      <c r="GI19" s="254"/>
      <c r="GJ19" s="254"/>
      <c r="GK19" s="254"/>
      <c r="GL19" s="254"/>
      <c r="GM19" s="254"/>
      <c r="GN19" s="254"/>
      <c r="GO19" s="254"/>
      <c r="GP19" s="254"/>
      <c r="GQ19" s="254"/>
      <c r="GR19" s="254"/>
      <c r="GS19" s="254"/>
      <c r="GT19" s="254"/>
      <c r="GU19" s="254"/>
      <c r="GV19" s="254"/>
      <c r="GW19" s="254"/>
      <c r="GX19" s="254"/>
      <c r="GY19" s="254"/>
      <c r="GZ19" s="254"/>
      <c r="HA19" s="254" t="s">
        <v>234</v>
      </c>
      <c r="HB19" s="254"/>
      <c r="HC19" s="254"/>
    </row>
    <row r="20" spans="1:211" ht="15.75" customHeight="1" x14ac:dyDescent="0.25">
      <c r="A20" s="262" t="s">
        <v>277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54"/>
      <c r="FH20" s="254"/>
      <c r="FI20" s="254"/>
      <c r="FJ20" s="254"/>
      <c r="FK20" s="254"/>
      <c r="FL20" s="254"/>
      <c r="FM20" s="254"/>
      <c r="FN20" s="254"/>
      <c r="FO20" s="254"/>
      <c r="FP20" s="254"/>
      <c r="FQ20" s="254"/>
      <c r="FR20" s="254"/>
      <c r="FS20" s="254"/>
      <c r="FT20" s="254"/>
      <c r="FU20" s="254"/>
      <c r="FV20" s="254"/>
      <c r="FW20" s="254"/>
      <c r="FX20" s="254"/>
      <c r="FY20" s="254"/>
      <c r="FZ20" s="254"/>
      <c r="GA20" s="254"/>
      <c r="GB20" s="254"/>
      <c r="GC20" s="254"/>
      <c r="GD20" s="254"/>
      <c r="GE20" s="254"/>
      <c r="GF20" s="254"/>
      <c r="GG20" s="254"/>
      <c r="GH20" s="254"/>
      <c r="GI20" s="254"/>
      <c r="GJ20" s="254"/>
      <c r="GK20" s="254"/>
      <c r="GL20" s="254"/>
      <c r="GM20" s="254"/>
      <c r="GN20" s="254"/>
      <c r="GO20" s="254"/>
      <c r="GP20" s="254"/>
      <c r="GQ20" s="254"/>
      <c r="GR20" s="254"/>
      <c r="GS20" s="254"/>
      <c r="GT20" s="254"/>
      <c r="GU20" s="254"/>
      <c r="GV20" s="254"/>
      <c r="GW20" s="254"/>
      <c r="GX20" s="254"/>
      <c r="GY20" s="254"/>
      <c r="GZ20" s="254"/>
      <c r="HA20" s="254"/>
      <c r="HB20" s="254"/>
      <c r="HC20" s="254"/>
    </row>
    <row r="21" spans="1:211" ht="37.5" customHeight="1" x14ac:dyDescent="0.25">
      <c r="A21" s="263" t="s">
        <v>23</v>
      </c>
      <c r="B21" s="264" t="s">
        <v>235</v>
      </c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5"/>
      <c r="AG21" s="264" t="s">
        <v>236</v>
      </c>
      <c r="AH21" s="264"/>
      <c r="AI21" s="264"/>
      <c r="AJ21" s="264"/>
      <c r="AK21" s="264"/>
      <c r="AL21" s="265"/>
      <c r="AM21" s="266" t="s">
        <v>237</v>
      </c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6" t="s">
        <v>238</v>
      </c>
      <c r="BD21" s="264"/>
      <c r="BE21" s="264"/>
      <c r="BF21" s="264"/>
      <c r="BG21" s="264"/>
      <c r="BH21" s="264"/>
      <c r="BI21" s="264"/>
      <c r="BJ21" s="264"/>
      <c r="BK21" s="266" t="s">
        <v>239</v>
      </c>
      <c r="BL21" s="264"/>
      <c r="BM21" s="264"/>
      <c r="BN21" s="264"/>
      <c r="BO21" s="264"/>
      <c r="BP21" s="264"/>
      <c r="BQ21" s="264"/>
      <c r="BR21" s="264"/>
      <c r="BS21" s="264"/>
      <c r="BT21" s="264"/>
      <c r="BU21" s="264"/>
      <c r="BV21" s="266" t="s">
        <v>240</v>
      </c>
      <c r="BW21" s="264"/>
      <c r="BX21" s="264"/>
      <c r="BY21" s="264"/>
      <c r="BZ21" s="264"/>
      <c r="CA21" s="264"/>
      <c r="CB21" s="264"/>
      <c r="CC21" s="264"/>
      <c r="CD21" s="264"/>
      <c r="CE21" s="264"/>
      <c r="CF21" s="264"/>
      <c r="CG21" s="264"/>
      <c r="CH21" s="264"/>
      <c r="CI21" s="264"/>
      <c r="CJ21" s="266" t="s">
        <v>241</v>
      </c>
      <c r="CK21" s="264"/>
      <c r="CL21" s="264"/>
      <c r="CM21" s="264"/>
      <c r="CN21" s="264"/>
      <c r="CO21" s="264"/>
      <c r="CP21" s="264"/>
      <c r="CQ21" s="266" t="s">
        <v>242</v>
      </c>
      <c r="CR21" s="264"/>
      <c r="CS21" s="264"/>
      <c r="CT21" s="264"/>
      <c r="CU21" s="264"/>
      <c r="CV21" s="264"/>
      <c r="CW21" s="264"/>
      <c r="CX21" s="264"/>
      <c r="CY21" s="264"/>
      <c r="CZ21" s="266" t="s">
        <v>243</v>
      </c>
      <c r="DA21" s="264"/>
      <c r="DB21" s="264"/>
      <c r="DC21" s="264"/>
      <c r="DD21" s="264"/>
      <c r="DE21" s="264"/>
      <c r="DF21" s="264"/>
      <c r="DG21" s="264"/>
      <c r="DH21" s="264"/>
      <c r="DI21" s="264"/>
      <c r="DJ21" s="264"/>
      <c r="DK21" s="264"/>
      <c r="DL21" s="266" t="s">
        <v>244</v>
      </c>
      <c r="DM21" s="264"/>
      <c r="DN21" s="264"/>
      <c r="DO21" s="264"/>
      <c r="DP21" s="264"/>
      <c r="DQ21" s="264"/>
      <c r="DR21" s="264"/>
      <c r="DS21" s="264"/>
      <c r="DT21" s="264"/>
      <c r="DU21" s="264"/>
      <c r="DV21" s="264"/>
      <c r="DW21" s="264"/>
      <c r="DX21" s="264"/>
      <c r="DY21" s="265"/>
      <c r="DZ21" s="264" t="s">
        <v>245</v>
      </c>
      <c r="EA21" s="264"/>
      <c r="EB21" s="264"/>
      <c r="EC21" s="264"/>
      <c r="ED21" s="264"/>
      <c r="EE21" s="264"/>
      <c r="EF21" s="264"/>
      <c r="EG21" s="264"/>
      <c r="EH21" s="264"/>
      <c r="EI21" s="264"/>
      <c r="EJ21" s="264"/>
      <c r="EK21" s="264"/>
      <c r="EL21" s="264"/>
      <c r="EM21" s="264"/>
      <c r="EN21" s="264"/>
      <c r="EO21" s="264"/>
      <c r="EP21" s="264"/>
      <c r="EQ21" s="264"/>
      <c r="ER21" s="264"/>
      <c r="ES21" s="264"/>
      <c r="ET21" s="264"/>
      <c r="EU21" s="265"/>
      <c r="EV21" s="264" t="s">
        <v>246</v>
      </c>
      <c r="EW21" s="264"/>
      <c r="EX21" s="264"/>
      <c r="EY21" s="264"/>
      <c r="EZ21" s="264"/>
      <c r="FA21" s="264"/>
      <c r="FB21" s="264"/>
      <c r="FC21" s="264"/>
      <c r="FD21" s="264"/>
      <c r="FE21" s="264"/>
      <c r="FF21" s="265"/>
      <c r="FG21" s="254"/>
      <c r="FH21" s="254"/>
      <c r="FI21" s="254"/>
      <c r="FJ21" s="254"/>
      <c r="FK21" s="254"/>
      <c r="FL21" s="254"/>
      <c r="FM21" s="254"/>
      <c r="FN21" s="254"/>
      <c r="FO21" s="254"/>
      <c r="FP21" s="254"/>
      <c r="FQ21" s="254"/>
      <c r="FR21" s="254"/>
      <c r="FS21" s="254"/>
      <c r="FT21" s="254"/>
      <c r="FU21" s="254"/>
      <c r="FV21" s="254"/>
      <c r="FW21" s="254"/>
      <c r="FX21" s="254"/>
      <c r="FY21" s="254"/>
      <c r="FZ21" s="254"/>
      <c r="GA21" s="254"/>
      <c r="GB21" s="254"/>
      <c r="GC21" s="254"/>
      <c r="GD21" s="254"/>
      <c r="GE21" s="254"/>
      <c r="GF21" s="254"/>
      <c r="GG21" s="254"/>
      <c r="GH21" s="254"/>
      <c r="GI21" s="254"/>
      <c r="GJ21" s="254"/>
      <c r="GK21" s="254"/>
      <c r="GL21" s="254"/>
      <c r="GM21" s="254"/>
      <c r="GN21" s="254"/>
      <c r="GO21" s="254"/>
      <c r="GP21" s="254"/>
      <c r="GQ21" s="254"/>
      <c r="GR21" s="254"/>
      <c r="GS21" s="254"/>
      <c r="GT21" s="254"/>
      <c r="GU21" s="254"/>
      <c r="GV21" s="254"/>
      <c r="GW21" s="254"/>
      <c r="GX21" s="254"/>
      <c r="GY21" s="254"/>
      <c r="GZ21" s="254"/>
      <c r="HA21" s="254"/>
      <c r="HB21" s="254"/>
      <c r="HC21" s="254"/>
    </row>
    <row r="22" spans="1:211" ht="57.75" customHeight="1" x14ac:dyDescent="0.25">
      <c r="A22" s="267"/>
      <c r="B22" s="268"/>
      <c r="C22" s="268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9"/>
      <c r="AG22" s="268"/>
      <c r="AH22" s="268"/>
      <c r="AI22" s="268"/>
      <c r="AJ22" s="268"/>
      <c r="AK22" s="268"/>
      <c r="AL22" s="269"/>
      <c r="AM22" s="266" t="s">
        <v>247</v>
      </c>
      <c r="AN22" s="264"/>
      <c r="AO22" s="264"/>
      <c r="AP22" s="264"/>
      <c r="AQ22" s="264"/>
      <c r="AR22" s="266" t="s">
        <v>248</v>
      </c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70"/>
      <c r="BD22" s="271"/>
      <c r="BE22" s="271"/>
      <c r="BF22" s="271"/>
      <c r="BG22" s="271"/>
      <c r="BH22" s="271"/>
      <c r="BI22" s="271"/>
      <c r="BJ22" s="271"/>
      <c r="BK22" s="270"/>
      <c r="BL22" s="271"/>
      <c r="BM22" s="271"/>
      <c r="BN22" s="271"/>
      <c r="BO22" s="271"/>
      <c r="BP22" s="271"/>
      <c r="BQ22" s="271"/>
      <c r="BR22" s="271"/>
      <c r="BS22" s="271"/>
      <c r="BT22" s="271"/>
      <c r="BU22" s="271"/>
      <c r="BV22" s="270"/>
      <c r="BW22" s="271"/>
      <c r="BX22" s="271"/>
      <c r="BY22" s="271"/>
      <c r="BZ22" s="271"/>
      <c r="CA22" s="271"/>
      <c r="CB22" s="271"/>
      <c r="CC22" s="271"/>
      <c r="CD22" s="271"/>
      <c r="CE22" s="271"/>
      <c r="CF22" s="271"/>
      <c r="CG22" s="271"/>
      <c r="CH22" s="271"/>
      <c r="CI22" s="271"/>
      <c r="CJ22" s="270"/>
      <c r="CK22" s="271"/>
      <c r="CL22" s="271"/>
      <c r="CM22" s="271"/>
      <c r="CN22" s="271"/>
      <c r="CO22" s="271"/>
      <c r="CP22" s="271"/>
      <c r="CQ22" s="270"/>
      <c r="CR22" s="271"/>
      <c r="CS22" s="271"/>
      <c r="CT22" s="271"/>
      <c r="CU22" s="271"/>
      <c r="CV22" s="271"/>
      <c r="CW22" s="271"/>
      <c r="CX22" s="271"/>
      <c r="CY22" s="271"/>
      <c r="CZ22" s="270"/>
      <c r="DA22" s="271"/>
      <c r="DB22" s="271"/>
      <c r="DC22" s="271"/>
      <c r="DD22" s="271"/>
      <c r="DE22" s="271"/>
      <c r="DF22" s="271"/>
      <c r="DG22" s="271"/>
      <c r="DH22" s="271"/>
      <c r="DI22" s="271"/>
      <c r="DJ22" s="271"/>
      <c r="DK22" s="271"/>
      <c r="DL22" s="270"/>
      <c r="DM22" s="271"/>
      <c r="DN22" s="271"/>
      <c r="DO22" s="271"/>
      <c r="DP22" s="271"/>
      <c r="DQ22" s="271"/>
      <c r="DR22" s="271"/>
      <c r="DS22" s="271"/>
      <c r="DT22" s="271"/>
      <c r="DU22" s="271"/>
      <c r="DV22" s="271"/>
      <c r="DW22" s="271"/>
      <c r="DX22" s="271"/>
      <c r="DY22" s="272"/>
      <c r="DZ22" s="264" t="s">
        <v>249</v>
      </c>
      <c r="EA22" s="264"/>
      <c r="EB22" s="264"/>
      <c r="EC22" s="264"/>
      <c r="ED22" s="264"/>
      <c r="EE22" s="264"/>
      <c r="EF22" s="264"/>
      <c r="EG22" s="264"/>
      <c r="EH22" s="265"/>
      <c r="EI22" s="264" t="s">
        <v>250</v>
      </c>
      <c r="EJ22" s="264"/>
      <c r="EK22" s="264"/>
      <c r="EL22" s="264"/>
      <c r="EM22" s="264"/>
      <c r="EN22" s="264"/>
      <c r="EO22" s="264"/>
      <c r="EP22" s="264"/>
      <c r="EQ22" s="264"/>
      <c r="ER22" s="264"/>
      <c r="ES22" s="264"/>
      <c r="ET22" s="264"/>
      <c r="EU22" s="265"/>
      <c r="EV22" s="271"/>
      <c r="EW22" s="271"/>
      <c r="EX22" s="271"/>
      <c r="EY22" s="271"/>
      <c r="EZ22" s="271"/>
      <c r="FA22" s="271"/>
      <c r="FB22" s="271"/>
      <c r="FC22" s="271"/>
      <c r="FD22" s="271"/>
      <c r="FE22" s="271"/>
      <c r="FF22" s="272"/>
      <c r="FG22" s="254"/>
      <c r="FH22" s="254"/>
      <c r="FI22" s="254"/>
      <c r="FJ22" s="254"/>
      <c r="FK22" s="254"/>
      <c r="FL22" s="254"/>
      <c r="FM22" s="254"/>
      <c r="FN22" s="254"/>
      <c r="FO22" s="254"/>
      <c r="FP22" s="254"/>
      <c r="FQ22" s="254"/>
      <c r="FR22" s="254"/>
      <c r="FS22" s="254"/>
      <c r="FT22" s="254"/>
      <c r="FU22" s="254"/>
      <c r="FV22" s="254"/>
      <c r="FW22" s="254"/>
      <c r="FX22" s="254"/>
      <c r="FY22" s="254"/>
      <c r="FZ22" s="254"/>
      <c r="GA22" s="254"/>
      <c r="GB22" s="254"/>
      <c r="GC22" s="254"/>
      <c r="GD22" s="254"/>
      <c r="GE22" s="254"/>
      <c r="GF22" s="254"/>
      <c r="GG22" s="254"/>
      <c r="GH22" s="254"/>
      <c r="GI22" s="254"/>
      <c r="GJ22" s="254"/>
      <c r="GK22" s="254"/>
      <c r="GL22" s="254"/>
      <c r="GM22" s="254"/>
      <c r="GN22" s="254"/>
      <c r="GO22" s="254"/>
      <c r="GP22" s="254"/>
      <c r="GQ22" s="254"/>
      <c r="GR22" s="254"/>
      <c r="GS22" s="254"/>
      <c r="GT22" s="254"/>
      <c r="GU22" s="254"/>
      <c r="GV22" s="254"/>
      <c r="GW22" s="254"/>
      <c r="GX22" s="254"/>
      <c r="GY22" s="254"/>
      <c r="GZ22" s="254"/>
      <c r="HA22" s="254"/>
      <c r="HB22" s="254"/>
      <c r="HC22" s="254"/>
    </row>
    <row r="23" spans="1:211" ht="12.75" customHeight="1" x14ac:dyDescent="0.25">
      <c r="A23" s="273">
        <v>1</v>
      </c>
      <c r="B23" s="274" t="s">
        <v>251</v>
      </c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5"/>
      <c r="AG23" s="276" t="s">
        <v>252</v>
      </c>
      <c r="AH23" s="274"/>
      <c r="AI23" s="274"/>
      <c r="AJ23" s="274"/>
      <c r="AK23" s="274"/>
      <c r="AL23" s="275"/>
      <c r="AM23" s="277">
        <v>2</v>
      </c>
      <c r="AN23" s="278"/>
      <c r="AO23" s="278"/>
      <c r="AP23" s="278"/>
      <c r="AQ23" s="278"/>
      <c r="AR23" s="277" t="s">
        <v>253</v>
      </c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7">
        <v>3</v>
      </c>
      <c r="BD23" s="278"/>
      <c r="BE23" s="278"/>
      <c r="BF23" s="278"/>
      <c r="BG23" s="278"/>
      <c r="BH23" s="278"/>
      <c r="BI23" s="278"/>
      <c r="BJ23" s="278"/>
      <c r="BK23" s="277">
        <v>4</v>
      </c>
      <c r="BL23" s="278"/>
      <c r="BM23" s="278"/>
      <c r="BN23" s="278"/>
      <c r="BO23" s="278"/>
      <c r="BP23" s="278"/>
      <c r="BQ23" s="278"/>
      <c r="BR23" s="278"/>
      <c r="BS23" s="278"/>
      <c r="BT23" s="278"/>
      <c r="BU23" s="278"/>
      <c r="BV23" s="277">
        <v>5</v>
      </c>
      <c r="BW23" s="278"/>
      <c r="BX23" s="278"/>
      <c r="BY23" s="278"/>
      <c r="BZ23" s="278"/>
      <c r="CA23" s="278"/>
      <c r="CB23" s="278"/>
      <c r="CC23" s="278"/>
      <c r="CD23" s="278"/>
      <c r="CE23" s="278"/>
      <c r="CF23" s="278"/>
      <c r="CG23" s="278"/>
      <c r="CH23" s="278"/>
      <c r="CI23" s="278"/>
      <c r="CJ23" s="277">
        <v>6</v>
      </c>
      <c r="CK23" s="278"/>
      <c r="CL23" s="278"/>
      <c r="CM23" s="278"/>
      <c r="CN23" s="278"/>
      <c r="CO23" s="278"/>
      <c r="CP23" s="278"/>
      <c r="CQ23" s="277">
        <v>7</v>
      </c>
      <c r="CR23" s="278"/>
      <c r="CS23" s="278"/>
      <c r="CT23" s="278"/>
      <c r="CU23" s="278"/>
      <c r="CV23" s="278"/>
      <c r="CW23" s="278"/>
      <c r="CX23" s="278"/>
      <c r="CY23" s="278"/>
      <c r="CZ23" s="277">
        <v>8</v>
      </c>
      <c r="DA23" s="278"/>
      <c r="DB23" s="278"/>
      <c r="DC23" s="278"/>
      <c r="DD23" s="278"/>
      <c r="DE23" s="278"/>
      <c r="DF23" s="278"/>
      <c r="DG23" s="278"/>
      <c r="DH23" s="278"/>
      <c r="DI23" s="278"/>
      <c r="DJ23" s="278"/>
      <c r="DK23" s="278"/>
      <c r="DL23" s="277">
        <v>9</v>
      </c>
      <c r="DM23" s="278"/>
      <c r="DN23" s="278"/>
      <c r="DO23" s="278"/>
      <c r="DP23" s="278"/>
      <c r="DQ23" s="278"/>
      <c r="DR23" s="278"/>
      <c r="DS23" s="278"/>
      <c r="DT23" s="278"/>
      <c r="DU23" s="278"/>
      <c r="DV23" s="278"/>
      <c r="DW23" s="278"/>
      <c r="DX23" s="278"/>
      <c r="DY23" s="279"/>
      <c r="DZ23" s="278">
        <v>10</v>
      </c>
      <c r="EA23" s="278"/>
      <c r="EB23" s="278"/>
      <c r="EC23" s="278"/>
      <c r="ED23" s="278"/>
      <c r="EE23" s="278"/>
      <c r="EF23" s="278"/>
      <c r="EG23" s="278"/>
      <c r="EH23" s="279"/>
      <c r="EI23" s="278" t="s">
        <v>254</v>
      </c>
      <c r="EJ23" s="278"/>
      <c r="EK23" s="278"/>
      <c r="EL23" s="278"/>
      <c r="EM23" s="278"/>
      <c r="EN23" s="278"/>
      <c r="EO23" s="278"/>
      <c r="EP23" s="278"/>
      <c r="EQ23" s="278"/>
      <c r="ER23" s="278"/>
      <c r="ES23" s="278"/>
      <c r="ET23" s="278"/>
      <c r="EU23" s="279"/>
      <c r="EV23" s="278">
        <v>11</v>
      </c>
      <c r="EW23" s="278"/>
      <c r="EX23" s="278"/>
      <c r="EY23" s="278"/>
      <c r="EZ23" s="278"/>
      <c r="FA23" s="278"/>
      <c r="FB23" s="278"/>
      <c r="FC23" s="278"/>
      <c r="FD23" s="278"/>
      <c r="FE23" s="278"/>
      <c r="FF23" s="279"/>
      <c r="FG23" s="254"/>
      <c r="FH23" s="254"/>
      <c r="FI23" s="254"/>
      <c r="FJ23" s="254"/>
      <c r="FK23" s="254"/>
      <c r="FL23" s="254"/>
      <c r="FM23" s="254"/>
      <c r="FN23" s="254"/>
      <c r="FO23" s="254"/>
      <c r="FP23" s="254"/>
      <c r="FQ23" s="254"/>
      <c r="FR23" s="254"/>
      <c r="FS23" s="254"/>
      <c r="FT23" s="254"/>
      <c r="FU23" s="254"/>
      <c r="FV23" s="254"/>
      <c r="FW23" s="254"/>
      <c r="FX23" s="254"/>
      <c r="FY23" s="254"/>
      <c r="FZ23" s="254"/>
      <c r="GA23" s="254"/>
      <c r="GB23" s="254"/>
      <c r="GC23" s="254"/>
      <c r="GD23" s="254"/>
      <c r="GE23" s="254"/>
      <c r="GF23" s="254"/>
      <c r="GG23" s="254"/>
      <c r="GH23" s="254"/>
      <c r="GI23" s="254"/>
      <c r="GJ23" s="254"/>
      <c r="GK23" s="254"/>
      <c r="GL23" s="254"/>
      <c r="GM23" s="254"/>
      <c r="GN23" s="254"/>
      <c r="GO23" s="254"/>
      <c r="GP23" s="254"/>
      <c r="GQ23" s="254"/>
      <c r="GR23" s="254"/>
      <c r="GS23" s="254"/>
      <c r="GT23" s="254"/>
      <c r="GU23" s="254"/>
      <c r="GV23" s="254"/>
      <c r="GW23" s="254"/>
      <c r="GX23" s="254"/>
      <c r="GY23" s="254"/>
      <c r="GZ23" s="254"/>
      <c r="HA23" s="254"/>
      <c r="HB23" s="254"/>
      <c r="HC23" s="254"/>
    </row>
    <row r="24" spans="1:211" ht="60" x14ac:dyDescent="0.25">
      <c r="A24" s="280">
        <v>1</v>
      </c>
      <c r="B24" s="281" t="s">
        <v>278</v>
      </c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3"/>
      <c r="AG24" s="284" t="s">
        <v>255</v>
      </c>
      <c r="AH24" s="285"/>
      <c r="AI24" s="285"/>
      <c r="AJ24" s="285"/>
      <c r="AK24" s="285"/>
      <c r="AL24" s="286"/>
      <c r="AM24" s="287" t="s">
        <v>255</v>
      </c>
      <c r="AN24" s="285"/>
      <c r="AO24" s="285"/>
      <c r="AP24" s="285"/>
      <c r="AQ24" s="285"/>
      <c r="AR24" s="287" t="s">
        <v>255</v>
      </c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8" t="s">
        <v>255</v>
      </c>
      <c r="BD24" s="289"/>
      <c r="BE24" s="289"/>
      <c r="BF24" s="289"/>
      <c r="BG24" s="289"/>
      <c r="BH24" s="289"/>
      <c r="BI24" s="289"/>
      <c r="BJ24" s="289"/>
      <c r="BK24" s="288" t="s">
        <v>255</v>
      </c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90">
        <v>82848.600000000006</v>
      </c>
      <c r="BW24" s="291"/>
      <c r="BX24" s="291"/>
      <c r="BY24" s="291"/>
      <c r="BZ24" s="291"/>
      <c r="CA24" s="291"/>
      <c r="CB24" s="291"/>
      <c r="CC24" s="291"/>
      <c r="CD24" s="291"/>
      <c r="CE24" s="291"/>
      <c r="CF24" s="291"/>
      <c r="CG24" s="291"/>
      <c r="CH24" s="291"/>
      <c r="CI24" s="291"/>
      <c r="CJ24" s="292" t="s">
        <v>256</v>
      </c>
      <c r="CK24" s="285"/>
      <c r="CL24" s="285"/>
      <c r="CM24" s="285"/>
      <c r="CN24" s="285"/>
      <c r="CO24" s="285"/>
      <c r="CP24" s="285"/>
      <c r="CQ24" s="293" t="s">
        <v>255</v>
      </c>
      <c r="CR24" s="285"/>
      <c r="CS24" s="285"/>
      <c r="CT24" s="285"/>
      <c r="CU24" s="285"/>
      <c r="CV24" s="285"/>
      <c r="CW24" s="285"/>
      <c r="CX24" s="285"/>
      <c r="CY24" s="285"/>
      <c r="CZ24" s="308" t="e">
        <f>ROUND(BV24*CQ24,2)</f>
        <v>#VALUE!</v>
      </c>
      <c r="DA24" s="291"/>
      <c r="DB24" s="291"/>
      <c r="DC24" s="291"/>
      <c r="DD24" s="291"/>
      <c r="DE24" s="291"/>
      <c r="DF24" s="291"/>
      <c r="DG24" s="291"/>
      <c r="DH24" s="291"/>
      <c r="DI24" s="291"/>
      <c r="DJ24" s="291"/>
      <c r="DK24" s="291"/>
      <c r="DL24" s="290" t="e">
        <f>BV24+CZ24</f>
        <v>#VALUE!</v>
      </c>
      <c r="DM24" s="291"/>
      <c r="DN24" s="291"/>
      <c r="DO24" s="291"/>
      <c r="DP24" s="291"/>
      <c r="DQ24" s="291"/>
      <c r="DR24" s="291"/>
      <c r="DS24" s="291"/>
      <c r="DT24" s="291"/>
      <c r="DU24" s="291"/>
      <c r="DV24" s="291"/>
      <c r="DW24" s="291"/>
      <c r="DX24" s="291"/>
      <c r="DY24" s="294"/>
      <c r="DZ24" s="285">
        <v>643</v>
      </c>
      <c r="EA24" s="285"/>
      <c r="EB24" s="285"/>
      <c r="EC24" s="285"/>
      <c r="ED24" s="285"/>
      <c r="EE24" s="285"/>
      <c r="EF24" s="285"/>
      <c r="EG24" s="285"/>
      <c r="EH24" s="286"/>
      <c r="EI24" s="285" t="s">
        <v>257</v>
      </c>
      <c r="EJ24" s="285"/>
      <c r="EK24" s="285"/>
      <c r="EL24" s="285"/>
      <c r="EM24" s="285"/>
      <c r="EN24" s="285"/>
      <c r="EO24" s="285"/>
      <c r="EP24" s="285"/>
      <c r="EQ24" s="285"/>
      <c r="ER24" s="285"/>
      <c r="ES24" s="285"/>
      <c r="ET24" s="285"/>
      <c r="EU24" s="286"/>
      <c r="EV24" s="285" t="s">
        <v>255</v>
      </c>
      <c r="EW24" s="285"/>
      <c r="EX24" s="285"/>
      <c r="EY24" s="285"/>
      <c r="EZ24" s="285"/>
      <c r="FA24" s="285"/>
      <c r="FB24" s="285"/>
      <c r="FC24" s="285"/>
      <c r="FD24" s="285"/>
      <c r="FE24" s="285"/>
      <c r="FF24" s="286"/>
      <c r="FG24" s="254"/>
      <c r="FH24" s="254"/>
      <c r="FI24" s="254"/>
      <c r="FJ24" s="254"/>
      <c r="FK24" s="254"/>
      <c r="FL24" s="254"/>
      <c r="FM24" s="254"/>
      <c r="FN24" s="254"/>
      <c r="FO24" s="254"/>
      <c r="FP24" s="254"/>
      <c r="FQ24" s="254"/>
      <c r="FR24" s="254"/>
      <c r="FS24" s="254"/>
      <c r="FT24" s="254"/>
      <c r="FU24" s="254"/>
      <c r="FV24" s="254"/>
      <c r="FW24" s="254"/>
      <c r="FX24" s="254"/>
      <c r="FY24" s="254"/>
      <c r="FZ24" s="254"/>
      <c r="GA24" s="254"/>
      <c r="GB24" s="254"/>
      <c r="GC24" s="254"/>
      <c r="GD24" s="254"/>
      <c r="GE24" s="254"/>
      <c r="GF24" s="254"/>
      <c r="GG24" s="254"/>
      <c r="GH24" s="254"/>
      <c r="GI24" s="254"/>
      <c r="GJ24" s="254"/>
      <c r="GK24" s="254"/>
      <c r="GL24" s="254"/>
      <c r="GM24" s="254"/>
      <c r="GN24" s="254"/>
      <c r="GO24" s="254"/>
      <c r="GP24" s="254"/>
      <c r="GQ24" s="254"/>
      <c r="GR24" s="254"/>
      <c r="GS24" s="254"/>
      <c r="GT24" s="254"/>
      <c r="GU24" s="254"/>
      <c r="GV24" s="254"/>
      <c r="GW24" s="254"/>
      <c r="GX24" s="254"/>
      <c r="GY24" s="254"/>
      <c r="GZ24" s="254"/>
      <c r="HA24" s="295" t="str">
        <f>B24</f>
        <v>Ремонтно отделочные работы по адресу: г. Москва, ул. Самая длинная, д.54 по Договору № _____ от 19.02.2026г.</v>
      </c>
      <c r="HB24" s="254"/>
      <c r="HC24" s="254"/>
    </row>
    <row r="25" spans="1:211" ht="15" customHeight="1" x14ac:dyDescent="0.25">
      <c r="A25" s="296" t="s">
        <v>258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7"/>
      <c r="AM25" s="297"/>
      <c r="AN25" s="297"/>
      <c r="AO25" s="297"/>
      <c r="AP25" s="297"/>
      <c r="AQ25" s="297"/>
      <c r="AR25" s="297"/>
      <c r="AS25" s="297"/>
      <c r="AT25" s="297"/>
      <c r="AU25" s="297"/>
      <c r="AV25" s="297"/>
      <c r="AW25" s="297"/>
      <c r="AX25" s="297"/>
      <c r="AY25" s="297"/>
      <c r="AZ25" s="297"/>
      <c r="BA25" s="297"/>
      <c r="BB25" s="297"/>
      <c r="BC25" s="297"/>
      <c r="BD25" s="297"/>
      <c r="BE25" s="297"/>
      <c r="BF25" s="297"/>
      <c r="BG25" s="297"/>
      <c r="BH25" s="297"/>
      <c r="BI25" s="297"/>
      <c r="BJ25" s="297"/>
      <c r="BK25" s="297"/>
      <c r="BL25" s="297"/>
      <c r="BM25" s="297"/>
      <c r="BN25" s="297"/>
      <c r="BO25" s="297"/>
      <c r="BP25" s="297"/>
      <c r="BQ25" s="297"/>
      <c r="BR25" s="297"/>
      <c r="BS25" s="297"/>
      <c r="BT25" s="297"/>
      <c r="BU25" s="297"/>
      <c r="BV25" s="298">
        <f>SUM(BV24:BV24)</f>
        <v>82848.600000000006</v>
      </c>
      <c r="BW25" s="299"/>
      <c r="BX25" s="299"/>
      <c r="BY25" s="299"/>
      <c r="BZ25" s="299"/>
      <c r="CA25" s="299"/>
      <c r="CB25" s="299"/>
      <c r="CC25" s="299"/>
      <c r="CD25" s="299"/>
      <c r="CE25" s="299"/>
      <c r="CF25" s="299"/>
      <c r="CG25" s="299"/>
      <c r="CH25" s="299"/>
      <c r="CI25" s="299"/>
      <c r="CJ25" s="300" t="s">
        <v>259</v>
      </c>
      <c r="CK25" s="301"/>
      <c r="CL25" s="301"/>
      <c r="CM25" s="301"/>
      <c r="CN25" s="301"/>
      <c r="CO25" s="301"/>
      <c r="CP25" s="301"/>
      <c r="CQ25" s="301"/>
      <c r="CR25" s="301"/>
      <c r="CS25" s="301"/>
      <c r="CT25" s="301"/>
      <c r="CU25" s="301"/>
      <c r="CV25" s="301"/>
      <c r="CW25" s="301"/>
      <c r="CX25" s="301"/>
      <c r="CY25" s="301"/>
      <c r="CZ25" s="298" t="e">
        <f>SUM(CZ24:CZ24)</f>
        <v>#VALUE!</v>
      </c>
      <c r="DA25" s="299"/>
      <c r="DB25" s="299"/>
      <c r="DC25" s="299"/>
      <c r="DD25" s="299"/>
      <c r="DE25" s="299"/>
      <c r="DF25" s="299"/>
      <c r="DG25" s="299"/>
      <c r="DH25" s="299"/>
      <c r="DI25" s="299"/>
      <c r="DJ25" s="299"/>
      <c r="DK25" s="299"/>
      <c r="DL25" s="298" t="e">
        <f>SUM(DL24:DL24)</f>
        <v>#VALUE!</v>
      </c>
      <c r="DM25" s="299"/>
      <c r="DN25" s="299"/>
      <c r="DO25" s="299"/>
      <c r="DP25" s="299"/>
      <c r="DQ25" s="299"/>
      <c r="DR25" s="299"/>
      <c r="DS25" s="299"/>
      <c r="DT25" s="299"/>
      <c r="DU25" s="299"/>
      <c r="DV25" s="299"/>
      <c r="DW25" s="299"/>
      <c r="DX25" s="299"/>
      <c r="DY25" s="302"/>
      <c r="FG25" s="254"/>
      <c r="FH25" s="254"/>
      <c r="FI25" s="254"/>
      <c r="FJ25" s="254"/>
      <c r="FK25" s="254"/>
      <c r="FL25" s="254"/>
      <c r="FM25" s="254"/>
      <c r="FN25" s="254"/>
      <c r="FO25" s="254"/>
      <c r="FP25" s="254"/>
      <c r="FQ25" s="254"/>
      <c r="FR25" s="254"/>
      <c r="FS25" s="254"/>
      <c r="FT25" s="254"/>
      <c r="FU25" s="254"/>
      <c r="FV25" s="254"/>
      <c r="FW25" s="254"/>
      <c r="FX25" s="254"/>
      <c r="FY25" s="254"/>
      <c r="FZ25" s="254"/>
      <c r="GA25" s="254"/>
      <c r="GB25" s="254"/>
      <c r="GC25" s="254"/>
      <c r="GD25" s="254"/>
      <c r="GE25" s="254"/>
      <c r="GF25" s="254"/>
      <c r="GG25" s="254"/>
      <c r="GH25" s="254"/>
      <c r="GI25" s="254"/>
      <c r="GJ25" s="254"/>
      <c r="GK25" s="254"/>
      <c r="GL25" s="254"/>
      <c r="GM25" s="254"/>
      <c r="GN25" s="254"/>
      <c r="GO25" s="254"/>
      <c r="GP25" s="254"/>
      <c r="GQ25" s="254"/>
      <c r="GR25" s="254"/>
      <c r="GS25" s="254"/>
      <c r="GT25" s="254"/>
      <c r="GU25" s="254"/>
      <c r="GV25" s="254"/>
      <c r="GW25" s="254"/>
      <c r="GX25" s="254"/>
      <c r="GY25" s="254"/>
      <c r="GZ25" s="254"/>
      <c r="HA25" s="254"/>
      <c r="HB25" s="254"/>
      <c r="HC25" s="254"/>
    </row>
    <row r="26" spans="1:211" ht="18" customHeight="1" x14ac:dyDescent="0.25">
      <c r="A26" s="303" t="s">
        <v>260</v>
      </c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  <c r="BW26" s="303"/>
      <c r="BX26" s="303"/>
      <c r="BY26" s="303"/>
      <c r="BZ26" s="303"/>
      <c r="CA26" s="303"/>
      <c r="CB26" s="303"/>
      <c r="CC26" s="303"/>
      <c r="CD26" s="303"/>
      <c r="CE26" s="303"/>
      <c r="CF26" s="303"/>
      <c r="CG26" s="303"/>
      <c r="CH26" s="303"/>
      <c r="CI26" s="303"/>
      <c r="CJ26" s="303"/>
      <c r="CK26" s="303" t="s">
        <v>261</v>
      </c>
      <c r="CL26" s="303"/>
      <c r="CM26" s="303"/>
      <c r="CN26" s="303"/>
      <c r="CO26" s="303"/>
      <c r="CP26" s="303"/>
      <c r="CQ26" s="303"/>
      <c r="CR26" s="303"/>
      <c r="CS26" s="303"/>
      <c r="CT26" s="303"/>
      <c r="CU26" s="303"/>
      <c r="CV26" s="303"/>
      <c r="CW26" s="303"/>
      <c r="CX26" s="303"/>
      <c r="CY26" s="303"/>
      <c r="CZ26" s="303"/>
      <c r="DA26" s="303"/>
      <c r="DB26" s="303"/>
      <c r="DC26" s="303"/>
      <c r="DD26" s="303"/>
      <c r="DE26" s="303"/>
      <c r="DF26" s="303"/>
      <c r="DG26" s="303"/>
      <c r="DH26" s="303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  <c r="DU26" s="303"/>
      <c r="DV26" s="303"/>
      <c r="DW26" s="303"/>
      <c r="DX26" s="303"/>
      <c r="DY26" s="303"/>
      <c r="DZ26" s="303"/>
      <c r="EA26" s="303"/>
      <c r="EB26" s="303"/>
      <c r="EC26" s="303"/>
      <c r="ED26" s="303"/>
      <c r="EE26" s="303"/>
      <c r="EF26" s="303"/>
      <c r="EG26" s="303"/>
      <c r="EH26" s="303"/>
      <c r="EI26" s="303"/>
      <c r="EJ26" s="303"/>
      <c r="EK26" s="303"/>
      <c r="EL26" s="303"/>
      <c r="EM26" s="303"/>
      <c r="EN26" s="303"/>
      <c r="EO26" s="303"/>
      <c r="EP26" s="303"/>
      <c r="EQ26" s="303"/>
      <c r="ER26" s="303"/>
      <c r="ES26" s="303"/>
      <c r="ET26" s="303"/>
      <c r="EU26" s="303"/>
      <c r="EV26" s="303"/>
      <c r="EW26" s="303"/>
      <c r="EX26" s="303"/>
      <c r="EY26" s="303"/>
      <c r="EZ26" s="303"/>
      <c r="FA26" s="303"/>
      <c r="FB26" s="303"/>
      <c r="FC26" s="303"/>
      <c r="FD26" s="303"/>
      <c r="FE26" s="303"/>
      <c r="FF26" s="303"/>
      <c r="FG26" s="254"/>
      <c r="FH26" s="254"/>
      <c r="FI26" s="254"/>
      <c r="FJ26" s="254"/>
      <c r="FK26" s="254"/>
      <c r="FL26" s="254"/>
      <c r="FM26" s="254"/>
      <c r="FN26" s="254"/>
      <c r="FO26" s="254"/>
      <c r="FP26" s="254"/>
      <c r="FQ26" s="254"/>
      <c r="FR26" s="254"/>
      <c r="FS26" s="254"/>
      <c r="FT26" s="254"/>
      <c r="FU26" s="254"/>
      <c r="FV26" s="254"/>
      <c r="FW26" s="254"/>
      <c r="FX26" s="254"/>
      <c r="FY26" s="254"/>
      <c r="FZ26" s="254"/>
      <c r="GA26" s="254"/>
      <c r="GB26" s="254"/>
      <c r="GC26" s="254"/>
      <c r="GD26" s="254"/>
      <c r="GE26" s="254"/>
      <c r="GF26" s="254"/>
      <c r="GG26" s="254"/>
      <c r="GH26" s="254"/>
      <c r="GI26" s="254"/>
      <c r="GJ26" s="254"/>
      <c r="GK26" s="254"/>
      <c r="GL26" s="254"/>
      <c r="GM26" s="254"/>
      <c r="GN26" s="254"/>
      <c r="GO26" s="254"/>
      <c r="GP26" s="254"/>
      <c r="GQ26" s="254"/>
      <c r="GR26" s="254"/>
      <c r="GS26" s="254"/>
      <c r="GT26" s="254"/>
      <c r="GU26" s="254"/>
      <c r="GV26" s="254"/>
      <c r="GW26" s="254"/>
      <c r="GX26" s="254"/>
      <c r="GY26" s="254"/>
      <c r="GZ26" s="254"/>
      <c r="HA26" s="254"/>
      <c r="HB26" s="254"/>
      <c r="HC26" s="254"/>
    </row>
    <row r="27" spans="1:211" ht="15" customHeight="1" x14ac:dyDescent="0.25">
      <c r="A27" s="303" t="s">
        <v>262</v>
      </c>
      <c r="B27" s="303"/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303"/>
      <c r="AE27" s="303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  <c r="AS27" s="304"/>
      <c r="AT27" s="304"/>
      <c r="AU27" s="304"/>
      <c r="AV27" s="303"/>
      <c r="AW27" s="303"/>
      <c r="AX27" s="303"/>
      <c r="AY27" s="304" t="s">
        <v>273</v>
      </c>
      <c r="AZ27" s="304"/>
      <c r="BA27" s="304"/>
      <c r="BB27" s="304"/>
      <c r="BC27" s="304"/>
      <c r="BD27" s="304"/>
      <c r="BE27" s="304"/>
      <c r="BF27" s="304"/>
      <c r="BG27" s="304"/>
      <c r="BH27" s="304"/>
      <c r="BI27" s="304"/>
      <c r="BJ27" s="304"/>
      <c r="BK27" s="304"/>
      <c r="BL27" s="304"/>
      <c r="BM27" s="304"/>
      <c r="BN27" s="304"/>
      <c r="BO27" s="304"/>
      <c r="BP27" s="304"/>
      <c r="BQ27" s="304"/>
      <c r="BR27" s="304"/>
      <c r="BS27" s="304"/>
      <c r="BT27" s="304"/>
      <c r="BU27" s="304"/>
      <c r="BV27" s="304"/>
      <c r="BW27" s="304"/>
      <c r="BX27" s="304"/>
      <c r="BY27" s="304"/>
      <c r="BZ27" s="304"/>
      <c r="CA27" s="303"/>
      <c r="CB27" s="303"/>
      <c r="CC27" s="303"/>
      <c r="CD27" s="303"/>
      <c r="CE27" s="303"/>
      <c r="CF27" s="303"/>
      <c r="CG27" s="303"/>
      <c r="CH27" s="303"/>
      <c r="CI27" s="303"/>
      <c r="CJ27" s="303"/>
      <c r="CK27" s="303" t="s">
        <v>262</v>
      </c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303"/>
      <c r="CW27" s="303"/>
      <c r="CX27" s="303"/>
      <c r="CY27" s="303"/>
      <c r="CZ27" s="303"/>
      <c r="DA27" s="303"/>
      <c r="DB27" s="303"/>
      <c r="DC27" s="303"/>
      <c r="DD27" s="303"/>
      <c r="DE27" s="303"/>
      <c r="DF27" s="303"/>
      <c r="DG27" s="303"/>
      <c r="DH27" s="303"/>
      <c r="DI27" s="303"/>
      <c r="DJ27" s="303"/>
      <c r="DK27" s="303"/>
      <c r="DL27" s="303"/>
      <c r="DM27" s="303"/>
      <c r="DN27" s="304"/>
      <c r="DO27" s="304"/>
      <c r="DP27" s="304"/>
      <c r="DQ27" s="304"/>
      <c r="DR27" s="304"/>
      <c r="DS27" s="304"/>
      <c r="DT27" s="304"/>
      <c r="DU27" s="304"/>
      <c r="DV27" s="304"/>
      <c r="DW27" s="304"/>
      <c r="DX27" s="304"/>
      <c r="DY27" s="304"/>
      <c r="DZ27" s="304"/>
      <c r="EA27" s="304"/>
      <c r="EB27" s="304"/>
      <c r="EC27" s="304"/>
      <c r="ED27" s="304"/>
      <c r="EE27" s="304"/>
      <c r="EF27" s="303"/>
      <c r="EG27" s="304"/>
      <c r="EH27" s="304"/>
      <c r="EI27" s="304"/>
      <c r="EJ27" s="304"/>
      <c r="EK27" s="304"/>
      <c r="EL27" s="304"/>
      <c r="EM27" s="304"/>
      <c r="EN27" s="304"/>
      <c r="EO27" s="304"/>
      <c r="EP27" s="304"/>
      <c r="EQ27" s="304"/>
      <c r="ER27" s="304"/>
      <c r="ES27" s="304"/>
      <c r="ET27" s="304"/>
      <c r="EU27" s="304"/>
      <c r="EV27" s="304"/>
      <c r="EW27" s="304"/>
      <c r="EX27" s="304"/>
      <c r="EY27" s="304"/>
      <c r="EZ27" s="304"/>
      <c r="FA27" s="304"/>
      <c r="FB27" s="304"/>
      <c r="FC27" s="304"/>
      <c r="FD27" s="304"/>
      <c r="FE27" s="304"/>
      <c r="FF27" s="304"/>
      <c r="FG27" s="254"/>
      <c r="FH27" s="254"/>
      <c r="FI27" s="254"/>
      <c r="FJ27" s="254"/>
      <c r="FK27" s="254"/>
      <c r="FL27" s="254"/>
      <c r="FM27" s="254"/>
      <c r="FN27" s="254"/>
      <c r="FO27" s="254"/>
      <c r="FP27" s="254"/>
      <c r="FQ27" s="254"/>
      <c r="FR27" s="254"/>
      <c r="FS27" s="254"/>
      <c r="FT27" s="254"/>
      <c r="FU27" s="254"/>
      <c r="FV27" s="254"/>
      <c r="FW27" s="254"/>
      <c r="FX27" s="254"/>
      <c r="FY27" s="254"/>
      <c r="FZ27" s="254"/>
      <c r="GA27" s="254"/>
      <c r="GB27" s="254"/>
      <c r="GC27" s="254"/>
      <c r="GD27" s="254"/>
      <c r="GE27" s="254"/>
      <c r="GF27" s="254"/>
      <c r="GG27" s="254"/>
      <c r="GH27" s="254"/>
      <c r="GI27" s="254"/>
      <c r="GJ27" s="254"/>
      <c r="GK27" s="254"/>
      <c r="GL27" s="254"/>
      <c r="GM27" s="254"/>
      <c r="GN27" s="254"/>
      <c r="GO27" s="254"/>
      <c r="GP27" s="254"/>
      <c r="GQ27" s="254"/>
      <c r="GR27" s="254"/>
      <c r="GS27" s="254"/>
      <c r="GT27" s="254"/>
      <c r="GU27" s="254"/>
      <c r="GV27" s="254"/>
      <c r="GW27" s="254"/>
      <c r="GX27" s="254"/>
      <c r="GY27" s="254"/>
      <c r="GZ27" s="254"/>
      <c r="HA27" s="254"/>
      <c r="HB27" s="254"/>
      <c r="HC27" s="254"/>
    </row>
    <row r="28" spans="1:211" ht="12" customHeight="1" x14ac:dyDescent="0.25">
      <c r="A28" s="303"/>
      <c r="B28" s="303"/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303"/>
      <c r="AF28" s="305" t="s">
        <v>263</v>
      </c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3"/>
      <c r="AW28" s="303"/>
      <c r="AX28" s="303"/>
      <c r="AY28" s="305" t="s">
        <v>264</v>
      </c>
      <c r="AZ28" s="305"/>
      <c r="BA28" s="305"/>
      <c r="BB28" s="305"/>
      <c r="BC28" s="305"/>
      <c r="BD28" s="305"/>
      <c r="BE28" s="305"/>
      <c r="BF28" s="305"/>
      <c r="BG28" s="305"/>
      <c r="BH28" s="305"/>
      <c r="BI28" s="305"/>
      <c r="BJ28" s="305"/>
      <c r="BK28" s="305"/>
      <c r="BL28" s="305"/>
      <c r="BM28" s="305"/>
      <c r="BN28" s="305"/>
      <c r="BO28" s="305"/>
      <c r="BP28" s="305"/>
      <c r="BQ28" s="305"/>
      <c r="BR28" s="305"/>
      <c r="BS28" s="305"/>
      <c r="BT28" s="305"/>
      <c r="BU28" s="305"/>
      <c r="BV28" s="305"/>
      <c r="BW28" s="305"/>
      <c r="BX28" s="305"/>
      <c r="BY28" s="305"/>
      <c r="BZ28" s="305"/>
      <c r="CA28" s="303"/>
      <c r="CB28" s="303"/>
      <c r="CC28" s="303"/>
      <c r="CD28" s="303"/>
      <c r="CE28" s="303"/>
      <c r="CF28" s="303"/>
      <c r="CG28" s="303"/>
      <c r="CH28" s="303"/>
      <c r="CI28" s="303"/>
      <c r="CJ28" s="303"/>
      <c r="CK28" s="303"/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303"/>
      <c r="CW28" s="303"/>
      <c r="CX28" s="303"/>
      <c r="CY28" s="303"/>
      <c r="CZ28" s="303"/>
      <c r="DA28" s="303"/>
      <c r="DB28" s="303"/>
      <c r="DC28" s="303"/>
      <c r="DD28" s="303"/>
      <c r="DE28" s="303"/>
      <c r="DF28" s="303"/>
      <c r="DG28" s="303"/>
      <c r="DH28" s="303"/>
      <c r="DI28" s="303"/>
      <c r="DJ28" s="303"/>
      <c r="DK28" s="303"/>
      <c r="DL28" s="303"/>
      <c r="DM28" s="303"/>
      <c r="DN28" s="305" t="s">
        <v>263</v>
      </c>
      <c r="DO28" s="305"/>
      <c r="DP28" s="305"/>
      <c r="DQ28" s="305"/>
      <c r="DR28" s="305"/>
      <c r="DS28" s="305"/>
      <c r="DT28" s="305"/>
      <c r="DU28" s="305"/>
      <c r="DV28" s="305"/>
      <c r="DW28" s="305"/>
      <c r="DX28" s="305"/>
      <c r="DY28" s="305"/>
      <c r="DZ28" s="305"/>
      <c r="EA28" s="305"/>
      <c r="EB28" s="305"/>
      <c r="EC28" s="305"/>
      <c r="ED28" s="305"/>
      <c r="EE28" s="305"/>
      <c r="EF28" s="303"/>
      <c r="EG28" s="305" t="s">
        <v>264</v>
      </c>
      <c r="EH28" s="305"/>
      <c r="EI28" s="305"/>
      <c r="EJ28" s="305"/>
      <c r="EK28" s="305"/>
      <c r="EL28" s="305"/>
      <c r="EM28" s="305"/>
      <c r="EN28" s="305"/>
      <c r="EO28" s="305"/>
      <c r="EP28" s="305"/>
      <c r="EQ28" s="305"/>
      <c r="ER28" s="305"/>
      <c r="ES28" s="305"/>
      <c r="ET28" s="305"/>
      <c r="EU28" s="305"/>
      <c r="EV28" s="305"/>
      <c r="EW28" s="305"/>
      <c r="EX28" s="305"/>
      <c r="EY28" s="305"/>
      <c r="EZ28" s="305"/>
      <c r="FA28" s="305"/>
      <c r="FB28" s="303"/>
      <c r="FC28" s="303"/>
      <c r="FD28" s="303"/>
      <c r="FE28" s="303"/>
      <c r="FF28" s="303"/>
      <c r="FG28" s="254"/>
      <c r="FH28" s="254"/>
      <c r="FI28" s="254"/>
      <c r="FJ28" s="254"/>
      <c r="FK28" s="254"/>
      <c r="FL28" s="254"/>
      <c r="FM28" s="254"/>
      <c r="FN28" s="254"/>
      <c r="FO28" s="254"/>
      <c r="FP28" s="254"/>
      <c r="FQ28" s="254"/>
      <c r="FR28" s="254"/>
      <c r="FS28" s="254"/>
      <c r="FT28" s="254"/>
      <c r="FU28" s="254"/>
      <c r="FV28" s="254"/>
      <c r="FW28" s="254"/>
      <c r="FX28" s="254"/>
      <c r="FY28" s="254"/>
      <c r="FZ28" s="254"/>
      <c r="GA28" s="254"/>
      <c r="GB28" s="254"/>
      <c r="GC28" s="254"/>
      <c r="GD28" s="254"/>
      <c r="GE28" s="254"/>
      <c r="GF28" s="254"/>
      <c r="GG28" s="254"/>
      <c r="GH28" s="254"/>
      <c r="GI28" s="254"/>
      <c r="GJ28" s="254"/>
      <c r="GK28" s="254"/>
      <c r="GL28" s="254"/>
      <c r="GM28" s="254"/>
      <c r="GN28" s="254"/>
      <c r="GO28" s="254"/>
      <c r="GP28" s="254"/>
      <c r="GQ28" s="254"/>
      <c r="GR28" s="254"/>
      <c r="GS28" s="254"/>
      <c r="GT28" s="254"/>
      <c r="GU28" s="254"/>
      <c r="GV28" s="254"/>
      <c r="GW28" s="254"/>
      <c r="GX28" s="254"/>
      <c r="GY28" s="254"/>
      <c r="GZ28" s="254"/>
      <c r="HA28" s="254"/>
      <c r="HB28" s="254"/>
      <c r="HC28" s="254"/>
    </row>
    <row r="29" spans="1:211" ht="14.25" customHeight="1" x14ac:dyDescent="0.25">
      <c r="A29" s="303" t="s">
        <v>265</v>
      </c>
      <c r="B29" s="303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  <c r="AE29" s="303"/>
      <c r="AF29" s="306"/>
      <c r="AG29" s="306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306"/>
      <c r="AV29" s="303"/>
      <c r="AW29" s="303"/>
      <c r="AX29" s="303"/>
      <c r="AY29" s="306"/>
      <c r="AZ29" s="306"/>
      <c r="BA29" s="306"/>
      <c r="BB29" s="306"/>
      <c r="BC29" s="306"/>
      <c r="BD29" s="306"/>
      <c r="BE29" s="306"/>
      <c r="BF29" s="306"/>
      <c r="BG29" s="306"/>
      <c r="BH29" s="306"/>
      <c r="BI29" s="306"/>
      <c r="BJ29" s="306"/>
      <c r="BK29" s="306"/>
      <c r="BL29" s="306"/>
      <c r="BM29" s="306"/>
      <c r="BN29" s="306"/>
      <c r="BO29" s="306"/>
      <c r="BP29" s="306"/>
      <c r="BQ29" s="306"/>
      <c r="BR29" s="306"/>
      <c r="BS29" s="306"/>
      <c r="BT29" s="306"/>
      <c r="BU29" s="306"/>
      <c r="BV29" s="306"/>
      <c r="BW29" s="306"/>
      <c r="BX29" s="306"/>
      <c r="BY29" s="306"/>
      <c r="BZ29" s="306"/>
      <c r="CA29" s="303"/>
      <c r="CB29" s="303"/>
      <c r="CC29" s="303"/>
      <c r="CD29" s="303"/>
      <c r="CE29" s="303"/>
      <c r="CF29" s="303"/>
      <c r="CG29" s="303"/>
      <c r="CH29" s="303"/>
      <c r="CI29" s="303"/>
      <c r="CJ29" s="303"/>
      <c r="CK29" s="303"/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303"/>
      <c r="CW29" s="303"/>
      <c r="CX29" s="303"/>
      <c r="CY29" s="303"/>
      <c r="CZ29" s="303"/>
      <c r="DA29" s="303"/>
      <c r="DB29" s="303"/>
      <c r="DC29" s="303"/>
      <c r="DD29" s="303"/>
      <c r="DE29" s="303"/>
      <c r="DF29" s="303"/>
      <c r="DG29" s="303"/>
      <c r="DH29" s="303"/>
      <c r="DI29" s="303"/>
      <c r="DJ29" s="303"/>
      <c r="DK29" s="303"/>
      <c r="DL29" s="303"/>
      <c r="DM29" s="303"/>
      <c r="DN29" s="306"/>
      <c r="DO29" s="306"/>
      <c r="DP29" s="306"/>
      <c r="DQ29" s="306"/>
      <c r="DR29" s="306"/>
      <c r="DS29" s="306"/>
      <c r="DT29" s="306"/>
      <c r="DU29" s="306"/>
      <c r="DV29" s="306"/>
      <c r="DW29" s="306"/>
      <c r="DX29" s="306"/>
      <c r="DY29" s="306"/>
      <c r="DZ29" s="306"/>
      <c r="EA29" s="306"/>
      <c r="EB29" s="306"/>
      <c r="EC29" s="306"/>
      <c r="ED29" s="306"/>
      <c r="EE29" s="306"/>
      <c r="EF29" s="303"/>
      <c r="EG29" s="306"/>
      <c r="EH29" s="306"/>
      <c r="EI29" s="306"/>
      <c r="EJ29" s="306"/>
      <c r="EK29" s="306"/>
      <c r="EL29" s="306"/>
      <c r="EM29" s="306"/>
      <c r="EN29" s="306"/>
      <c r="EO29" s="306"/>
      <c r="EP29" s="306"/>
      <c r="EQ29" s="306"/>
      <c r="ER29" s="306"/>
      <c r="ES29" s="306"/>
      <c r="ET29" s="306"/>
      <c r="EU29" s="306"/>
      <c r="EV29" s="306"/>
      <c r="EW29" s="306"/>
      <c r="EX29" s="306"/>
      <c r="EY29" s="306"/>
      <c r="EZ29" s="306"/>
      <c r="FA29" s="306"/>
      <c r="FB29" s="303"/>
      <c r="FC29" s="303"/>
      <c r="FD29" s="303"/>
      <c r="FE29" s="303"/>
      <c r="FF29" s="303"/>
      <c r="FG29" s="254"/>
      <c r="FH29" s="254"/>
      <c r="FI29" s="254"/>
      <c r="FJ29" s="254"/>
      <c r="FK29" s="254"/>
      <c r="FL29" s="254"/>
      <c r="FM29" s="254"/>
      <c r="FN29" s="254"/>
      <c r="FO29" s="254"/>
      <c r="FP29" s="254"/>
      <c r="FQ29" s="254"/>
      <c r="FR29" s="254"/>
      <c r="FS29" s="254"/>
      <c r="FT29" s="254"/>
      <c r="FU29" s="254"/>
      <c r="FV29" s="254"/>
      <c r="FW29" s="254"/>
      <c r="FX29" s="254"/>
      <c r="FY29" s="254"/>
      <c r="FZ29" s="254"/>
      <c r="GA29" s="254"/>
      <c r="GB29" s="254"/>
      <c r="GC29" s="254"/>
      <c r="GD29" s="254"/>
      <c r="GE29" s="254"/>
      <c r="GF29" s="254"/>
      <c r="GG29" s="254"/>
      <c r="GH29" s="254"/>
      <c r="GI29" s="254"/>
      <c r="GJ29" s="254"/>
      <c r="GK29" s="254"/>
      <c r="GL29" s="254"/>
      <c r="GM29" s="254"/>
      <c r="GN29" s="254"/>
      <c r="GO29" s="254"/>
      <c r="GP29" s="254"/>
      <c r="GQ29" s="254"/>
      <c r="GR29" s="254"/>
      <c r="GS29" s="254"/>
      <c r="GT29" s="254"/>
      <c r="GU29" s="254"/>
      <c r="GV29" s="254"/>
      <c r="GW29" s="254"/>
      <c r="GX29" s="254"/>
      <c r="GY29" s="254"/>
      <c r="GZ29" s="254"/>
      <c r="HA29" s="254"/>
      <c r="HB29" s="254"/>
      <c r="HC29" s="254"/>
    </row>
    <row r="30" spans="1:211" ht="15" customHeight="1" x14ac:dyDescent="0.25">
      <c r="A30" s="303" t="s">
        <v>262</v>
      </c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4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3"/>
      <c r="BE30" s="303"/>
      <c r="BF30" s="303"/>
      <c r="BG30" s="304"/>
      <c r="BH30" s="304"/>
      <c r="BI30" s="304"/>
      <c r="BJ30" s="304"/>
      <c r="BK30" s="304"/>
      <c r="BL30" s="304"/>
      <c r="BM30" s="304"/>
      <c r="BN30" s="304"/>
      <c r="BO30" s="304"/>
      <c r="BP30" s="304"/>
      <c r="BQ30" s="304"/>
      <c r="BR30" s="304"/>
      <c r="BS30" s="304"/>
      <c r="BT30" s="304"/>
      <c r="BU30" s="304"/>
      <c r="BV30" s="304"/>
      <c r="BW30" s="304"/>
      <c r="BX30" s="304"/>
      <c r="BY30" s="304"/>
      <c r="BZ30" s="304"/>
      <c r="CA30" s="304"/>
      <c r="CB30" s="304"/>
      <c r="CC30" s="304"/>
      <c r="CD30" s="304"/>
      <c r="CE30" s="304"/>
      <c r="CF30" s="304"/>
      <c r="CG30" s="304"/>
      <c r="CH30" s="304"/>
      <c r="CI30" s="303"/>
      <c r="CJ30" s="303"/>
      <c r="CK30" s="303"/>
      <c r="CL30" s="304"/>
      <c r="CM30" s="304"/>
      <c r="CN30" s="304"/>
      <c r="CO30" s="304"/>
      <c r="CP30" s="304"/>
      <c r="CQ30" s="304"/>
      <c r="CR30" s="304"/>
      <c r="CS30" s="304"/>
      <c r="CT30" s="304"/>
      <c r="CU30" s="304"/>
      <c r="CV30" s="304"/>
      <c r="CW30" s="304"/>
      <c r="CX30" s="304"/>
      <c r="CY30" s="304"/>
      <c r="CZ30" s="304"/>
      <c r="DA30" s="304"/>
      <c r="DB30" s="304"/>
      <c r="DC30" s="304"/>
      <c r="DD30" s="304"/>
      <c r="DE30" s="304"/>
      <c r="DF30" s="304"/>
      <c r="DG30" s="304"/>
      <c r="DH30" s="304"/>
      <c r="DI30" s="304"/>
      <c r="DJ30" s="304"/>
      <c r="DK30" s="304"/>
      <c r="DL30" s="304"/>
      <c r="DM30" s="304"/>
      <c r="DN30" s="304"/>
      <c r="DO30" s="304"/>
      <c r="DP30" s="304"/>
      <c r="DQ30" s="304"/>
      <c r="DR30" s="304"/>
      <c r="DS30" s="304"/>
      <c r="DT30" s="304"/>
      <c r="DU30" s="304"/>
      <c r="DV30" s="304"/>
      <c r="DW30" s="304"/>
      <c r="DX30" s="304"/>
      <c r="DY30" s="304"/>
      <c r="DZ30" s="304"/>
      <c r="EA30" s="304"/>
      <c r="EB30" s="304"/>
      <c r="EC30" s="304"/>
      <c r="ED30" s="304"/>
      <c r="EE30" s="304"/>
      <c r="EF30" s="304"/>
      <c r="EG30" s="304"/>
      <c r="EH30" s="304"/>
      <c r="EI30" s="304"/>
      <c r="EJ30" s="304"/>
      <c r="EK30" s="304"/>
      <c r="EL30" s="304"/>
      <c r="EM30" s="304"/>
      <c r="EN30" s="304"/>
      <c r="EO30" s="304"/>
      <c r="EP30" s="304"/>
      <c r="EQ30" s="304"/>
      <c r="ER30" s="304"/>
      <c r="ES30" s="304"/>
      <c r="ET30" s="304"/>
      <c r="EU30" s="304"/>
      <c r="EV30" s="304"/>
      <c r="EW30" s="304"/>
      <c r="EX30" s="304"/>
      <c r="EY30" s="304"/>
      <c r="EZ30" s="304"/>
      <c r="FA30" s="304"/>
      <c r="FB30" s="303"/>
      <c r="FC30" s="303"/>
      <c r="FD30" s="303"/>
      <c r="FE30" s="303"/>
      <c r="FF30" s="303"/>
      <c r="FG30" s="254"/>
      <c r="FH30" s="254"/>
      <c r="FI30" s="254"/>
      <c r="FJ30" s="254"/>
      <c r="FK30" s="254"/>
      <c r="FL30" s="254"/>
      <c r="FM30" s="254"/>
      <c r="FN30" s="254"/>
      <c r="FO30" s="254"/>
      <c r="FP30" s="254"/>
      <c r="FQ30" s="254"/>
      <c r="FR30" s="254"/>
      <c r="FS30" s="254"/>
      <c r="FT30" s="254"/>
      <c r="FU30" s="254"/>
      <c r="FV30" s="254"/>
      <c r="FW30" s="254"/>
      <c r="FX30" s="254"/>
      <c r="FY30" s="254"/>
      <c r="FZ30" s="254"/>
      <c r="GA30" s="254"/>
      <c r="GB30" s="254"/>
      <c r="GC30" s="254"/>
      <c r="GD30" s="254"/>
      <c r="GE30" s="254"/>
      <c r="GF30" s="254"/>
      <c r="GG30" s="254"/>
      <c r="GH30" s="254"/>
      <c r="GI30" s="254"/>
      <c r="GJ30" s="254"/>
      <c r="GK30" s="254"/>
      <c r="GL30" s="254"/>
      <c r="GM30" s="254"/>
      <c r="GN30" s="254"/>
      <c r="GO30" s="254"/>
      <c r="GP30" s="254"/>
      <c r="GQ30" s="254"/>
      <c r="GR30" s="254"/>
      <c r="GS30" s="254"/>
      <c r="GT30" s="254"/>
      <c r="GU30" s="254"/>
      <c r="GV30" s="254"/>
      <c r="GW30" s="254"/>
      <c r="GX30" s="254"/>
      <c r="GY30" s="254"/>
      <c r="GZ30" s="254"/>
      <c r="HA30" s="254"/>
      <c r="HB30" s="254"/>
      <c r="HC30" s="254"/>
    </row>
    <row r="31" spans="1:211" ht="15" customHeight="1" x14ac:dyDescent="0.25">
      <c r="A31" s="303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5" t="s">
        <v>263</v>
      </c>
      <c r="AL31" s="305"/>
      <c r="AM31" s="305"/>
      <c r="AN31" s="305"/>
      <c r="AO31" s="305"/>
      <c r="AP31" s="305"/>
      <c r="AQ31" s="305"/>
      <c r="AR31" s="305"/>
      <c r="AS31" s="305"/>
      <c r="AT31" s="305"/>
      <c r="AU31" s="305"/>
      <c r="AV31" s="305"/>
      <c r="AW31" s="305"/>
      <c r="AX31" s="305"/>
      <c r="AY31" s="305"/>
      <c r="AZ31" s="305"/>
      <c r="BA31" s="305"/>
      <c r="BB31" s="305"/>
      <c r="BC31" s="305"/>
      <c r="BD31" s="303"/>
      <c r="BE31" s="303"/>
      <c r="BF31" s="303"/>
      <c r="BG31" s="305" t="s">
        <v>264</v>
      </c>
      <c r="BH31" s="305"/>
      <c r="BI31" s="305"/>
      <c r="BJ31" s="305"/>
      <c r="BK31" s="305"/>
      <c r="BL31" s="305"/>
      <c r="BM31" s="305"/>
      <c r="BN31" s="305"/>
      <c r="BO31" s="305"/>
      <c r="BP31" s="305"/>
      <c r="BQ31" s="305"/>
      <c r="BR31" s="305"/>
      <c r="BS31" s="305"/>
      <c r="BT31" s="305"/>
      <c r="BU31" s="305"/>
      <c r="BV31" s="305"/>
      <c r="BW31" s="305"/>
      <c r="BX31" s="305"/>
      <c r="BY31" s="305"/>
      <c r="BZ31" s="305"/>
      <c r="CA31" s="305"/>
      <c r="CB31" s="305"/>
      <c r="CC31" s="305"/>
      <c r="CD31" s="305"/>
      <c r="CE31" s="305"/>
      <c r="CF31" s="305"/>
      <c r="CG31" s="305"/>
      <c r="CH31" s="305"/>
      <c r="CI31" s="303"/>
      <c r="CJ31" s="303"/>
      <c r="CK31" s="303"/>
      <c r="CL31" s="305" t="s">
        <v>266</v>
      </c>
      <c r="CM31" s="305"/>
      <c r="CN31" s="305"/>
      <c r="CO31" s="305"/>
      <c r="CP31" s="305"/>
      <c r="CQ31" s="305"/>
      <c r="CR31" s="305"/>
      <c r="CS31" s="305"/>
      <c r="CT31" s="305"/>
      <c r="CU31" s="305"/>
      <c r="CV31" s="305"/>
      <c r="CW31" s="305"/>
      <c r="CX31" s="305"/>
      <c r="CY31" s="305"/>
      <c r="CZ31" s="305"/>
      <c r="DA31" s="305"/>
      <c r="DB31" s="305"/>
      <c r="DC31" s="305"/>
      <c r="DD31" s="305"/>
      <c r="DE31" s="305"/>
      <c r="DF31" s="305"/>
      <c r="DG31" s="305"/>
      <c r="DH31" s="305"/>
      <c r="DI31" s="305"/>
      <c r="DJ31" s="305"/>
      <c r="DK31" s="305"/>
      <c r="DL31" s="305"/>
      <c r="DM31" s="305"/>
      <c r="DN31" s="305"/>
      <c r="DO31" s="305"/>
      <c r="DP31" s="305"/>
      <c r="DQ31" s="305"/>
      <c r="DR31" s="305"/>
      <c r="DS31" s="305"/>
      <c r="DT31" s="305"/>
      <c r="DU31" s="305"/>
      <c r="DV31" s="305"/>
      <c r="DW31" s="305"/>
      <c r="DX31" s="305"/>
      <c r="DY31" s="305"/>
      <c r="DZ31" s="305"/>
      <c r="EA31" s="305"/>
      <c r="EB31" s="305"/>
      <c r="EC31" s="305"/>
      <c r="ED31" s="305"/>
      <c r="EE31" s="305"/>
      <c r="EF31" s="305"/>
      <c r="EG31" s="305"/>
      <c r="EH31" s="305"/>
      <c r="EI31" s="305"/>
      <c r="EJ31" s="305"/>
      <c r="EK31" s="305"/>
      <c r="EL31" s="305"/>
      <c r="EM31" s="305"/>
      <c r="EN31" s="305"/>
      <c r="EO31" s="305"/>
      <c r="EP31" s="305"/>
      <c r="EQ31" s="305"/>
      <c r="ER31" s="305"/>
      <c r="ES31" s="305"/>
      <c r="ET31" s="305"/>
      <c r="EU31" s="305"/>
      <c r="EV31" s="305"/>
      <c r="EW31" s="305"/>
      <c r="EX31" s="305"/>
      <c r="EY31" s="305"/>
      <c r="EZ31" s="305"/>
      <c r="FA31" s="305"/>
      <c r="FB31" s="303"/>
      <c r="FC31" s="303"/>
      <c r="FD31" s="303"/>
      <c r="FE31" s="303"/>
      <c r="FF31" s="303"/>
      <c r="FG31" s="254"/>
      <c r="FH31" s="254"/>
      <c r="FI31" s="254"/>
      <c r="FJ31" s="254"/>
      <c r="FK31" s="254"/>
      <c r="FL31" s="254"/>
      <c r="FM31" s="254"/>
      <c r="FN31" s="254"/>
      <c r="FO31" s="254"/>
      <c r="FP31" s="254"/>
      <c r="FQ31" s="254"/>
      <c r="FR31" s="254"/>
      <c r="FS31" s="254"/>
      <c r="FT31" s="254"/>
      <c r="FU31" s="254"/>
      <c r="FV31" s="254"/>
      <c r="FW31" s="254"/>
      <c r="FX31" s="254"/>
      <c r="FY31" s="254"/>
      <c r="FZ31" s="254"/>
      <c r="GA31" s="254"/>
      <c r="GB31" s="254"/>
      <c r="GC31" s="254"/>
      <c r="GD31" s="254"/>
      <c r="GE31" s="254"/>
      <c r="GF31" s="254"/>
      <c r="GG31" s="254"/>
      <c r="GH31" s="254"/>
      <c r="GI31" s="254"/>
      <c r="GJ31" s="254"/>
      <c r="GK31" s="254"/>
      <c r="GL31" s="254"/>
      <c r="GM31" s="254"/>
      <c r="GN31" s="254"/>
      <c r="GO31" s="254"/>
      <c r="GP31" s="254"/>
      <c r="GQ31" s="254"/>
      <c r="GR31" s="254"/>
      <c r="GS31" s="254"/>
      <c r="GT31" s="254"/>
      <c r="GU31" s="254"/>
      <c r="GV31" s="254"/>
      <c r="GW31" s="254"/>
      <c r="GX31" s="254"/>
      <c r="GY31" s="254"/>
      <c r="GZ31" s="254"/>
      <c r="HA31" s="254"/>
      <c r="HB31" s="254"/>
      <c r="HC31" s="254"/>
    </row>
    <row r="32" spans="1:211" ht="15" customHeight="1" x14ac:dyDescent="0.25">
      <c r="CL32" s="307"/>
      <c r="CM32" s="307"/>
      <c r="CN32" s="307"/>
      <c r="CO32" s="307"/>
      <c r="CP32" s="307"/>
      <c r="CQ32" s="307"/>
      <c r="CR32" s="307"/>
      <c r="CS32" s="307"/>
      <c r="CT32" s="307"/>
      <c r="CU32" s="307"/>
      <c r="CV32" s="307"/>
      <c r="CW32" s="307"/>
      <c r="CX32" s="307"/>
      <c r="CY32" s="307"/>
      <c r="CZ32" s="307"/>
      <c r="DA32" s="307"/>
      <c r="DB32" s="307"/>
      <c r="DC32" s="307"/>
      <c r="DD32" s="307"/>
      <c r="DE32" s="307"/>
      <c r="DF32" s="307"/>
      <c r="DG32" s="307"/>
      <c r="DH32" s="307"/>
      <c r="DI32" s="307"/>
      <c r="DJ32" s="307"/>
      <c r="DK32" s="307"/>
      <c r="DL32" s="307"/>
      <c r="DM32" s="307"/>
      <c r="DN32" s="307"/>
      <c r="DO32" s="307"/>
      <c r="DP32" s="307"/>
      <c r="DQ32" s="307"/>
      <c r="DR32" s="307"/>
      <c r="DS32" s="307"/>
      <c r="DT32" s="307"/>
      <c r="DU32" s="307"/>
      <c r="DV32" s="307"/>
      <c r="DW32" s="307"/>
      <c r="DX32" s="307"/>
      <c r="DY32" s="307"/>
      <c r="DZ32" s="307"/>
      <c r="EA32" s="307"/>
      <c r="EB32" s="307"/>
      <c r="EC32" s="307"/>
      <c r="ED32" s="307"/>
      <c r="EE32" s="307"/>
      <c r="EF32" s="307"/>
      <c r="EG32" s="307"/>
      <c r="EH32" s="307"/>
      <c r="EI32" s="307"/>
      <c r="EJ32" s="307"/>
      <c r="EK32" s="307"/>
      <c r="EL32" s="307"/>
      <c r="EM32" s="307"/>
      <c r="EN32" s="307"/>
      <c r="EO32" s="307"/>
      <c r="EP32" s="307"/>
      <c r="EQ32" s="307"/>
      <c r="ER32" s="307"/>
      <c r="ES32" s="307"/>
      <c r="ET32" s="307"/>
      <c r="EU32" s="307"/>
      <c r="EV32" s="307"/>
      <c r="EW32" s="307"/>
      <c r="EX32" s="307"/>
      <c r="EY32" s="307"/>
      <c r="EZ32" s="307"/>
      <c r="FA32" s="307"/>
      <c r="FG32" s="254"/>
      <c r="FH32" s="254"/>
      <c r="FI32" s="254"/>
      <c r="FJ32" s="254"/>
      <c r="FK32" s="254"/>
      <c r="FL32" s="254"/>
      <c r="FM32" s="254"/>
      <c r="FN32" s="254"/>
      <c r="FO32" s="254"/>
      <c r="FP32" s="254"/>
      <c r="FQ32" s="254"/>
      <c r="FR32" s="254"/>
      <c r="FS32" s="254"/>
      <c r="FT32" s="254"/>
      <c r="FU32" s="254"/>
      <c r="FV32" s="254"/>
      <c r="FW32" s="254"/>
      <c r="FX32" s="254"/>
      <c r="FY32" s="254"/>
      <c r="FZ32" s="254"/>
      <c r="GA32" s="254"/>
      <c r="GB32" s="254"/>
      <c r="GC32" s="254"/>
      <c r="GD32" s="254"/>
      <c r="GE32" s="254"/>
      <c r="GF32" s="254"/>
      <c r="GG32" s="254"/>
      <c r="GH32" s="254"/>
      <c r="GI32" s="254"/>
      <c r="GJ32" s="254"/>
      <c r="GK32" s="254"/>
      <c r="GL32" s="254"/>
      <c r="GM32" s="254"/>
      <c r="GN32" s="254"/>
      <c r="GO32" s="254"/>
      <c r="GP32" s="254"/>
      <c r="GQ32" s="254"/>
      <c r="GR32" s="254"/>
      <c r="GS32" s="254"/>
      <c r="GT32" s="254"/>
      <c r="GU32" s="254"/>
      <c r="GV32" s="254"/>
      <c r="GW32" s="254"/>
      <c r="GX32" s="254"/>
      <c r="GY32" s="254"/>
      <c r="GZ32" s="254"/>
      <c r="HA32" s="254"/>
      <c r="HB32" s="254"/>
      <c r="HC32" s="254"/>
    </row>
    <row r="33" spans="163:211" ht="15" customHeight="1" x14ac:dyDescent="0.25">
      <c r="FG33" s="254"/>
      <c r="FH33" s="254"/>
      <c r="FI33" s="254"/>
      <c r="FJ33" s="254"/>
      <c r="FK33" s="254"/>
      <c r="FL33" s="254"/>
      <c r="FM33" s="254"/>
      <c r="FN33" s="254"/>
      <c r="FO33" s="254"/>
      <c r="FP33" s="254"/>
      <c r="FQ33" s="254"/>
      <c r="FR33" s="254"/>
      <c r="FS33" s="254"/>
      <c r="FT33" s="254"/>
      <c r="FU33" s="254"/>
      <c r="FV33" s="254"/>
      <c r="FW33" s="254"/>
      <c r="FX33" s="254"/>
      <c r="FY33" s="254"/>
      <c r="FZ33" s="254"/>
      <c r="GA33" s="254"/>
      <c r="GB33" s="254"/>
      <c r="GC33" s="254"/>
      <c r="GD33" s="254"/>
      <c r="GE33" s="254"/>
      <c r="GF33" s="254"/>
      <c r="GG33" s="254"/>
      <c r="GH33" s="254"/>
      <c r="GI33" s="254"/>
      <c r="GJ33" s="254"/>
      <c r="GK33" s="254"/>
      <c r="GL33" s="254"/>
      <c r="GM33" s="254"/>
      <c r="GN33" s="254"/>
      <c r="GO33" s="254"/>
      <c r="GP33" s="254"/>
      <c r="GQ33" s="254"/>
      <c r="GR33" s="254"/>
      <c r="GS33" s="254"/>
      <c r="GT33" s="254"/>
      <c r="GU33" s="254"/>
      <c r="GV33" s="254"/>
      <c r="GW33" s="254"/>
      <c r="GX33" s="254"/>
      <c r="GY33" s="254"/>
      <c r="GZ33" s="254"/>
      <c r="HA33" s="254"/>
      <c r="HB33" s="254"/>
      <c r="HC33" s="254"/>
    </row>
    <row r="34" spans="163:211" ht="15" customHeight="1" x14ac:dyDescent="0.25">
      <c r="FG34" s="254"/>
      <c r="FH34" s="254"/>
      <c r="FI34" s="254"/>
      <c r="FJ34" s="254"/>
      <c r="FK34" s="254"/>
      <c r="FL34" s="254"/>
      <c r="FM34" s="254"/>
      <c r="FN34" s="254"/>
      <c r="FO34" s="254"/>
      <c r="FP34" s="254"/>
      <c r="FQ34" s="254"/>
      <c r="FR34" s="254"/>
      <c r="FS34" s="254"/>
      <c r="FT34" s="254"/>
      <c r="FU34" s="254"/>
      <c r="FV34" s="254"/>
      <c r="FW34" s="254"/>
      <c r="FX34" s="254"/>
      <c r="FY34" s="254"/>
      <c r="FZ34" s="254"/>
      <c r="GA34" s="254"/>
      <c r="GB34" s="254"/>
      <c r="GC34" s="254"/>
      <c r="GD34" s="254"/>
      <c r="GE34" s="254"/>
      <c r="GF34" s="254"/>
      <c r="GG34" s="254"/>
      <c r="GH34" s="254"/>
      <c r="GI34" s="254"/>
      <c r="GJ34" s="254"/>
      <c r="GK34" s="254"/>
      <c r="GL34" s="254"/>
      <c r="GM34" s="254"/>
      <c r="GN34" s="254"/>
      <c r="GO34" s="254"/>
      <c r="GP34" s="254"/>
      <c r="GQ34" s="254"/>
      <c r="GR34" s="254"/>
      <c r="GS34" s="254"/>
      <c r="GT34" s="254"/>
      <c r="GU34" s="254"/>
      <c r="GV34" s="254"/>
      <c r="GW34" s="254"/>
      <c r="GX34" s="254"/>
      <c r="GY34" s="254"/>
      <c r="GZ34" s="254"/>
      <c r="HA34" s="254"/>
      <c r="HB34" s="254"/>
      <c r="HC34" s="254"/>
    </row>
    <row r="35" spans="163:211" ht="15" customHeight="1" x14ac:dyDescent="0.25">
      <c r="FG35" s="254"/>
      <c r="FH35" s="254"/>
      <c r="FI35" s="254"/>
      <c r="FJ35" s="254"/>
      <c r="FK35" s="254"/>
      <c r="FL35" s="254"/>
      <c r="FM35" s="254"/>
      <c r="FN35" s="254"/>
      <c r="FO35" s="254"/>
      <c r="FP35" s="254"/>
      <c r="FQ35" s="254"/>
      <c r="FR35" s="254"/>
      <c r="FS35" s="254"/>
      <c r="FT35" s="254"/>
      <c r="FU35" s="254"/>
      <c r="FV35" s="254"/>
      <c r="FW35" s="254"/>
      <c r="FX35" s="254"/>
      <c r="FY35" s="254"/>
      <c r="FZ35" s="254"/>
      <c r="GA35" s="254"/>
      <c r="GB35" s="254"/>
      <c r="GC35" s="254"/>
      <c r="GD35" s="254"/>
      <c r="GE35" s="254"/>
      <c r="GF35" s="254"/>
      <c r="GG35" s="254"/>
      <c r="GH35" s="254"/>
      <c r="GI35" s="254"/>
      <c r="GJ35" s="254"/>
      <c r="GK35" s="254"/>
      <c r="GL35" s="254"/>
      <c r="GM35" s="254"/>
      <c r="GN35" s="254"/>
      <c r="GO35" s="254"/>
      <c r="GP35" s="254"/>
      <c r="GQ35" s="254"/>
      <c r="GR35" s="254"/>
      <c r="GS35" s="254"/>
      <c r="GT35" s="254"/>
      <c r="GU35" s="254"/>
      <c r="GV35" s="254"/>
      <c r="GW35" s="254"/>
      <c r="GX35" s="254"/>
      <c r="GY35" s="254"/>
      <c r="GZ35" s="254"/>
      <c r="HA35" s="254"/>
      <c r="HB35" s="254"/>
      <c r="HC35" s="254"/>
    </row>
    <row r="36" spans="163:211" ht="15" customHeight="1" x14ac:dyDescent="0.25">
      <c r="FG36" s="254"/>
      <c r="FH36" s="254"/>
      <c r="FI36" s="254"/>
      <c r="FJ36" s="254"/>
      <c r="FK36" s="254"/>
      <c r="FL36" s="254"/>
      <c r="FM36" s="254"/>
      <c r="FN36" s="254"/>
      <c r="FO36" s="254"/>
      <c r="FP36" s="254"/>
      <c r="FQ36" s="254"/>
      <c r="FR36" s="254"/>
      <c r="FS36" s="254"/>
      <c r="FT36" s="254"/>
      <c r="FU36" s="254"/>
      <c r="FV36" s="254"/>
      <c r="FW36" s="254"/>
      <c r="FX36" s="254"/>
      <c r="FY36" s="254"/>
      <c r="FZ36" s="254"/>
      <c r="GA36" s="254"/>
      <c r="GB36" s="254"/>
      <c r="GC36" s="254"/>
      <c r="GD36" s="254"/>
      <c r="GE36" s="254"/>
      <c r="GF36" s="254"/>
      <c r="GG36" s="254"/>
      <c r="GH36" s="254"/>
      <c r="GI36" s="254"/>
      <c r="GJ36" s="254"/>
      <c r="GK36" s="254"/>
      <c r="GL36" s="254"/>
      <c r="GM36" s="254"/>
      <c r="GN36" s="254"/>
      <c r="GO36" s="254"/>
      <c r="GP36" s="254"/>
      <c r="GQ36" s="254"/>
      <c r="GR36" s="254"/>
      <c r="GS36" s="254"/>
      <c r="GT36" s="254"/>
      <c r="GU36" s="254"/>
      <c r="GV36" s="254"/>
      <c r="GW36" s="254"/>
      <c r="GX36" s="254"/>
      <c r="GY36" s="254"/>
      <c r="GZ36" s="254"/>
      <c r="HA36" s="254"/>
      <c r="HB36" s="254"/>
      <c r="HC36" s="254"/>
    </row>
    <row r="37" spans="163:211" ht="15" customHeight="1" x14ac:dyDescent="0.25">
      <c r="FG37" s="254"/>
      <c r="FH37" s="254"/>
      <c r="FI37" s="254"/>
      <c r="FJ37" s="254"/>
      <c r="FK37" s="254"/>
      <c r="FL37" s="254"/>
      <c r="FM37" s="254"/>
      <c r="FN37" s="254"/>
      <c r="FO37" s="254"/>
      <c r="FP37" s="254"/>
      <c r="FQ37" s="254"/>
      <c r="FR37" s="254"/>
      <c r="FS37" s="254"/>
      <c r="FT37" s="254"/>
      <c r="FU37" s="254"/>
      <c r="FV37" s="254"/>
      <c r="FW37" s="254"/>
      <c r="FX37" s="254"/>
      <c r="FY37" s="254"/>
      <c r="FZ37" s="254"/>
      <c r="GA37" s="254"/>
      <c r="GB37" s="254"/>
      <c r="GC37" s="254"/>
      <c r="GD37" s="254"/>
      <c r="GE37" s="254"/>
      <c r="GF37" s="254"/>
      <c r="GG37" s="254"/>
      <c r="GH37" s="254"/>
      <c r="GI37" s="254"/>
      <c r="GJ37" s="254"/>
      <c r="GK37" s="254"/>
      <c r="GL37" s="254"/>
      <c r="GM37" s="254"/>
      <c r="GN37" s="254"/>
      <c r="GO37" s="254"/>
      <c r="GP37" s="254"/>
      <c r="GQ37" s="254"/>
      <c r="GR37" s="254"/>
      <c r="GS37" s="254"/>
      <c r="GT37" s="254"/>
      <c r="GU37" s="254"/>
      <c r="GV37" s="254"/>
      <c r="GW37" s="254"/>
      <c r="GX37" s="254"/>
      <c r="GY37" s="254"/>
      <c r="GZ37" s="254"/>
      <c r="HA37" s="254"/>
      <c r="HB37" s="254"/>
      <c r="HC37" s="254"/>
    </row>
    <row r="38" spans="163:211" ht="15" customHeight="1" x14ac:dyDescent="0.25">
      <c r="FG38" s="254"/>
      <c r="FH38" s="254"/>
      <c r="FI38" s="254"/>
      <c r="FJ38" s="254"/>
      <c r="FK38" s="254"/>
      <c r="FL38" s="254"/>
      <c r="FM38" s="254"/>
      <c r="FN38" s="254"/>
      <c r="FO38" s="254"/>
      <c r="FP38" s="254"/>
      <c r="FQ38" s="254"/>
      <c r="FR38" s="254"/>
      <c r="FS38" s="254"/>
      <c r="FT38" s="254"/>
      <c r="FU38" s="254"/>
      <c r="FV38" s="254"/>
      <c r="FW38" s="254"/>
      <c r="FX38" s="254"/>
      <c r="FY38" s="254"/>
      <c r="FZ38" s="254"/>
      <c r="GA38" s="254"/>
      <c r="GB38" s="254"/>
      <c r="GC38" s="254"/>
      <c r="GD38" s="254"/>
      <c r="GE38" s="254"/>
      <c r="GF38" s="254"/>
      <c r="GG38" s="254"/>
      <c r="GH38" s="254"/>
      <c r="GI38" s="254"/>
      <c r="GJ38" s="254"/>
      <c r="GK38" s="254"/>
      <c r="GL38" s="254"/>
      <c r="GM38" s="254"/>
      <c r="GN38" s="254"/>
      <c r="GO38" s="254"/>
      <c r="GP38" s="254"/>
      <c r="GQ38" s="254"/>
      <c r="GR38" s="254"/>
      <c r="GS38" s="254"/>
      <c r="GT38" s="254"/>
      <c r="GU38" s="254"/>
      <c r="GV38" s="254"/>
      <c r="GW38" s="254"/>
      <c r="GX38" s="254"/>
      <c r="GY38" s="254"/>
      <c r="GZ38" s="254"/>
      <c r="HA38" s="254"/>
      <c r="HB38" s="254"/>
      <c r="HC38" s="254"/>
    </row>
    <row r="39" spans="163:211" ht="15" customHeight="1" x14ac:dyDescent="0.25">
      <c r="FG39" s="254"/>
      <c r="FH39" s="254"/>
      <c r="FI39" s="254"/>
      <c r="FJ39" s="254"/>
      <c r="FK39" s="254"/>
      <c r="FL39" s="254"/>
      <c r="FM39" s="254"/>
      <c r="FN39" s="254"/>
      <c r="FO39" s="254"/>
      <c r="FP39" s="254"/>
      <c r="FQ39" s="254"/>
      <c r="FR39" s="254"/>
      <c r="FS39" s="254"/>
      <c r="FT39" s="254"/>
      <c r="FU39" s="254"/>
      <c r="FV39" s="254"/>
      <c r="FW39" s="254"/>
      <c r="FX39" s="254"/>
      <c r="FY39" s="254"/>
      <c r="FZ39" s="254"/>
      <c r="GA39" s="254"/>
      <c r="GB39" s="254"/>
      <c r="GC39" s="254"/>
      <c r="GD39" s="254"/>
      <c r="GE39" s="254"/>
      <c r="GF39" s="254"/>
      <c r="GG39" s="254"/>
      <c r="GH39" s="254"/>
      <c r="GI39" s="254"/>
      <c r="GJ39" s="254"/>
      <c r="GK39" s="254"/>
      <c r="GL39" s="254"/>
      <c r="GM39" s="254"/>
      <c r="GN39" s="254"/>
      <c r="GO39" s="254"/>
      <c r="GP39" s="254"/>
      <c r="GQ39" s="254"/>
      <c r="GR39" s="254"/>
      <c r="GS39" s="254"/>
      <c r="GT39" s="254"/>
      <c r="GU39" s="254"/>
      <c r="GV39" s="254"/>
      <c r="GW39" s="254"/>
      <c r="GX39" s="254"/>
      <c r="GY39" s="254"/>
      <c r="GZ39" s="254"/>
      <c r="HA39" s="254"/>
      <c r="HB39" s="254"/>
      <c r="HC39" s="254"/>
    </row>
    <row r="40" spans="163:211" ht="15" customHeight="1" x14ac:dyDescent="0.25">
      <c r="FG40" s="254"/>
      <c r="FH40" s="254"/>
      <c r="FI40" s="254"/>
      <c r="FJ40" s="254"/>
      <c r="FK40" s="254"/>
      <c r="FL40" s="254"/>
      <c r="FM40" s="254"/>
      <c r="FN40" s="254"/>
      <c r="FO40" s="254"/>
      <c r="FP40" s="254"/>
      <c r="FQ40" s="254"/>
      <c r="FR40" s="254"/>
      <c r="FS40" s="254"/>
      <c r="FT40" s="254"/>
      <c r="FU40" s="254"/>
      <c r="FV40" s="254"/>
      <c r="FW40" s="254"/>
      <c r="FX40" s="254"/>
      <c r="FY40" s="254"/>
      <c r="FZ40" s="254"/>
      <c r="GA40" s="254"/>
      <c r="GB40" s="254"/>
      <c r="GC40" s="254"/>
      <c r="GD40" s="254"/>
      <c r="GE40" s="254"/>
      <c r="GF40" s="254"/>
      <c r="GG40" s="254"/>
      <c r="GH40" s="254"/>
      <c r="GI40" s="254"/>
      <c r="GJ40" s="254"/>
      <c r="GK40" s="254"/>
      <c r="GL40" s="254"/>
      <c r="GM40" s="254"/>
      <c r="GN40" s="254"/>
      <c r="GO40" s="254"/>
      <c r="GP40" s="254"/>
      <c r="GQ40" s="254"/>
      <c r="GR40" s="254"/>
      <c r="GS40" s="254"/>
      <c r="GT40" s="254"/>
      <c r="GU40" s="254"/>
      <c r="GV40" s="254"/>
      <c r="GW40" s="254"/>
      <c r="GX40" s="254"/>
      <c r="GY40" s="254"/>
      <c r="GZ40" s="254"/>
      <c r="HA40" s="254"/>
      <c r="HB40" s="254"/>
      <c r="HC40" s="254"/>
    </row>
    <row r="41" spans="163:211" ht="15" customHeight="1" x14ac:dyDescent="0.25">
      <c r="FG41" s="254"/>
      <c r="FH41" s="254"/>
      <c r="FI41" s="254"/>
      <c r="FJ41" s="254"/>
      <c r="FK41" s="254"/>
      <c r="FL41" s="254"/>
      <c r="FM41" s="254"/>
      <c r="FN41" s="254"/>
      <c r="FO41" s="254"/>
      <c r="FP41" s="254"/>
      <c r="FQ41" s="254"/>
      <c r="FR41" s="254"/>
      <c r="FS41" s="254"/>
      <c r="FT41" s="254"/>
      <c r="FU41" s="254"/>
      <c r="FV41" s="254"/>
      <c r="FW41" s="254"/>
      <c r="FX41" s="254"/>
      <c r="FY41" s="254"/>
      <c r="FZ41" s="254"/>
      <c r="GA41" s="254"/>
      <c r="GB41" s="254"/>
      <c r="GC41" s="254"/>
      <c r="GD41" s="254"/>
      <c r="GE41" s="254"/>
      <c r="GF41" s="254"/>
      <c r="GG41" s="254"/>
      <c r="GH41" s="254"/>
      <c r="GI41" s="254"/>
      <c r="GJ41" s="254"/>
      <c r="GK41" s="254"/>
      <c r="GL41" s="254"/>
      <c r="GM41" s="254"/>
      <c r="GN41" s="254"/>
      <c r="GO41" s="254"/>
      <c r="GP41" s="254"/>
      <c r="GQ41" s="254"/>
      <c r="GR41" s="254"/>
      <c r="GS41" s="254"/>
      <c r="GT41" s="254"/>
      <c r="GU41" s="254"/>
      <c r="GV41" s="254"/>
      <c r="GW41" s="254"/>
      <c r="GX41" s="254"/>
      <c r="GY41" s="254"/>
      <c r="GZ41" s="254"/>
      <c r="HA41" s="254"/>
      <c r="HB41" s="254"/>
      <c r="HC41" s="254"/>
    </row>
    <row r="42" spans="163:211" ht="15" customHeight="1" x14ac:dyDescent="0.25">
      <c r="FG42" s="254"/>
      <c r="FH42" s="254"/>
      <c r="FI42" s="254"/>
      <c r="FJ42" s="254"/>
      <c r="FK42" s="254"/>
      <c r="FL42" s="254"/>
      <c r="FM42" s="254"/>
      <c r="FN42" s="254"/>
      <c r="FO42" s="254"/>
      <c r="FP42" s="254"/>
      <c r="FQ42" s="254"/>
      <c r="FR42" s="254"/>
      <c r="FS42" s="254"/>
      <c r="FT42" s="254"/>
      <c r="FU42" s="254"/>
      <c r="FV42" s="254"/>
      <c r="FW42" s="254"/>
      <c r="FX42" s="254"/>
      <c r="FY42" s="254"/>
      <c r="FZ42" s="254"/>
      <c r="GA42" s="254"/>
      <c r="GB42" s="254"/>
      <c r="GC42" s="254"/>
      <c r="GD42" s="254"/>
      <c r="GE42" s="254"/>
      <c r="GF42" s="254"/>
      <c r="GG42" s="254"/>
      <c r="GH42" s="254"/>
      <c r="GI42" s="254"/>
      <c r="GJ42" s="254"/>
      <c r="GK42" s="254"/>
      <c r="GL42" s="254"/>
      <c r="GM42" s="254"/>
      <c r="GN42" s="254"/>
      <c r="GO42" s="254"/>
      <c r="GP42" s="254"/>
      <c r="GQ42" s="254"/>
      <c r="GR42" s="254"/>
      <c r="GS42" s="254"/>
      <c r="GT42" s="254"/>
      <c r="GU42" s="254"/>
      <c r="GV42" s="254"/>
      <c r="GW42" s="254"/>
      <c r="GX42" s="254"/>
      <c r="GY42" s="254"/>
      <c r="GZ42" s="254"/>
      <c r="HA42" s="254"/>
      <c r="HB42" s="254"/>
      <c r="HC42" s="254"/>
    </row>
    <row r="43" spans="163:211" ht="15" customHeight="1" x14ac:dyDescent="0.25">
      <c r="FG43" s="254"/>
      <c r="FH43" s="254"/>
      <c r="FI43" s="254"/>
      <c r="FJ43" s="254"/>
      <c r="FK43" s="254"/>
      <c r="FL43" s="254"/>
      <c r="FM43" s="254"/>
      <c r="FN43" s="254"/>
      <c r="FO43" s="254"/>
      <c r="FP43" s="254"/>
      <c r="FQ43" s="254"/>
      <c r="FR43" s="254"/>
      <c r="FS43" s="254"/>
      <c r="FT43" s="254"/>
      <c r="FU43" s="254"/>
      <c r="FV43" s="254"/>
      <c r="FW43" s="254"/>
      <c r="FX43" s="254"/>
      <c r="FY43" s="254"/>
      <c r="FZ43" s="254"/>
      <c r="GA43" s="254"/>
      <c r="GB43" s="254"/>
      <c r="GC43" s="254"/>
      <c r="GD43" s="254"/>
      <c r="GE43" s="254"/>
      <c r="GF43" s="254"/>
      <c r="GG43" s="254"/>
      <c r="GH43" s="254"/>
      <c r="GI43" s="254"/>
      <c r="GJ43" s="254"/>
      <c r="GK43" s="254"/>
      <c r="GL43" s="254"/>
      <c r="GM43" s="254"/>
      <c r="GN43" s="254"/>
      <c r="GO43" s="254"/>
      <c r="GP43" s="254"/>
      <c r="GQ43" s="254"/>
      <c r="GR43" s="254"/>
      <c r="GS43" s="254"/>
      <c r="GT43" s="254"/>
      <c r="GU43" s="254"/>
      <c r="GV43" s="254"/>
      <c r="GW43" s="254"/>
      <c r="GX43" s="254"/>
      <c r="GY43" s="254"/>
      <c r="GZ43" s="254"/>
      <c r="HA43" s="254"/>
      <c r="HB43" s="254"/>
      <c r="HC43" s="254"/>
    </row>
    <row r="44" spans="163:211" ht="15" customHeight="1" x14ac:dyDescent="0.25">
      <c r="FG44" s="254"/>
      <c r="FH44" s="254"/>
      <c r="FI44" s="254"/>
      <c r="FJ44" s="254"/>
      <c r="FK44" s="254"/>
      <c r="FL44" s="254"/>
      <c r="FM44" s="254"/>
      <c r="FN44" s="254"/>
      <c r="FO44" s="254"/>
      <c r="FP44" s="254"/>
      <c r="FQ44" s="254"/>
      <c r="FR44" s="254"/>
      <c r="FS44" s="254"/>
      <c r="FT44" s="254"/>
      <c r="FU44" s="254"/>
      <c r="FV44" s="254"/>
      <c r="FW44" s="254"/>
      <c r="FX44" s="254"/>
      <c r="FY44" s="254"/>
      <c r="FZ44" s="254"/>
      <c r="GA44" s="254"/>
      <c r="GB44" s="254"/>
      <c r="GC44" s="254"/>
      <c r="GD44" s="254"/>
      <c r="GE44" s="254"/>
      <c r="GF44" s="254"/>
      <c r="GG44" s="254"/>
      <c r="GH44" s="254"/>
      <c r="GI44" s="254"/>
      <c r="GJ44" s="254"/>
      <c r="GK44" s="254"/>
      <c r="GL44" s="254"/>
      <c r="GM44" s="254"/>
      <c r="GN44" s="254"/>
      <c r="GO44" s="254"/>
      <c r="GP44" s="254"/>
      <c r="GQ44" s="254"/>
      <c r="GR44" s="254"/>
      <c r="GS44" s="254"/>
      <c r="GT44" s="254"/>
      <c r="GU44" s="254"/>
      <c r="GV44" s="254"/>
      <c r="GW44" s="254"/>
      <c r="GX44" s="254"/>
      <c r="GY44" s="254"/>
      <c r="GZ44" s="254"/>
      <c r="HA44" s="254"/>
      <c r="HB44" s="254"/>
      <c r="HC44" s="254"/>
    </row>
    <row r="45" spans="163:211" ht="15" customHeight="1" x14ac:dyDescent="0.25">
      <c r="FG45" s="254"/>
      <c r="FH45" s="254"/>
      <c r="FI45" s="254"/>
      <c r="FJ45" s="254"/>
      <c r="FK45" s="254"/>
      <c r="FL45" s="254"/>
      <c r="FM45" s="254"/>
      <c r="FN45" s="254"/>
      <c r="FO45" s="254"/>
      <c r="FP45" s="254"/>
      <c r="FQ45" s="254"/>
      <c r="FR45" s="254"/>
      <c r="FS45" s="254"/>
      <c r="FT45" s="254"/>
      <c r="FU45" s="254"/>
      <c r="FV45" s="254"/>
      <c r="FW45" s="254"/>
      <c r="FX45" s="254"/>
      <c r="FY45" s="254"/>
      <c r="FZ45" s="254"/>
      <c r="GA45" s="254"/>
      <c r="GB45" s="254"/>
      <c r="GC45" s="254"/>
      <c r="GD45" s="254"/>
      <c r="GE45" s="254"/>
      <c r="GF45" s="254"/>
      <c r="GG45" s="254"/>
      <c r="GH45" s="254"/>
      <c r="GI45" s="254"/>
      <c r="GJ45" s="254"/>
      <c r="GK45" s="254"/>
      <c r="GL45" s="254"/>
      <c r="GM45" s="254"/>
      <c r="GN45" s="254"/>
      <c r="GO45" s="254"/>
      <c r="GP45" s="254"/>
      <c r="GQ45" s="254"/>
      <c r="GR45" s="254"/>
      <c r="GS45" s="254"/>
      <c r="GT45" s="254"/>
      <c r="GU45" s="254"/>
      <c r="GV45" s="254"/>
      <c r="GW45" s="254"/>
      <c r="GX45" s="254"/>
      <c r="GY45" s="254"/>
      <c r="GZ45" s="254"/>
      <c r="HA45" s="254"/>
      <c r="HB45" s="254"/>
      <c r="HC45" s="254"/>
    </row>
    <row r="46" spans="163:211" ht="15" customHeight="1" x14ac:dyDescent="0.25">
      <c r="FG46" s="254"/>
      <c r="FH46" s="254"/>
      <c r="FI46" s="254"/>
      <c r="FJ46" s="254"/>
      <c r="FK46" s="254"/>
      <c r="FL46" s="254"/>
      <c r="FM46" s="254"/>
      <c r="FN46" s="254"/>
      <c r="FO46" s="254"/>
      <c r="FP46" s="254"/>
      <c r="FQ46" s="254"/>
      <c r="FR46" s="254"/>
      <c r="FS46" s="254"/>
      <c r="FT46" s="254"/>
      <c r="FU46" s="254"/>
      <c r="FV46" s="254"/>
      <c r="FW46" s="254"/>
      <c r="FX46" s="254"/>
      <c r="FY46" s="254"/>
      <c r="FZ46" s="254"/>
      <c r="GA46" s="254"/>
      <c r="GB46" s="254"/>
      <c r="GC46" s="254"/>
      <c r="GD46" s="254"/>
      <c r="GE46" s="254"/>
      <c r="GF46" s="254"/>
      <c r="GG46" s="254"/>
      <c r="GH46" s="254"/>
      <c r="GI46" s="254"/>
      <c r="GJ46" s="254"/>
      <c r="GK46" s="254"/>
      <c r="GL46" s="254"/>
      <c r="GM46" s="254"/>
      <c r="GN46" s="254"/>
      <c r="GO46" s="254"/>
      <c r="GP46" s="254"/>
      <c r="GQ46" s="254"/>
      <c r="GR46" s="254"/>
      <c r="GS46" s="254"/>
      <c r="GT46" s="254"/>
      <c r="GU46" s="254"/>
      <c r="GV46" s="254"/>
      <c r="GW46" s="254"/>
      <c r="GX46" s="254"/>
      <c r="GY46" s="254"/>
      <c r="GZ46" s="254"/>
      <c r="HA46" s="254"/>
      <c r="HB46" s="254"/>
      <c r="HC46" s="254"/>
    </row>
    <row r="47" spans="163:211" ht="15" customHeight="1" x14ac:dyDescent="0.25">
      <c r="FG47" s="254"/>
      <c r="FH47" s="254"/>
      <c r="FI47" s="254"/>
      <c r="FJ47" s="254"/>
      <c r="FK47" s="254"/>
      <c r="FL47" s="254"/>
      <c r="FM47" s="254"/>
      <c r="FN47" s="254"/>
      <c r="FO47" s="254"/>
      <c r="FP47" s="254"/>
      <c r="FQ47" s="254"/>
      <c r="FR47" s="254"/>
      <c r="FS47" s="254"/>
      <c r="FT47" s="254"/>
      <c r="FU47" s="254"/>
      <c r="FV47" s="254"/>
      <c r="FW47" s="254"/>
      <c r="FX47" s="254"/>
      <c r="FY47" s="254"/>
      <c r="FZ47" s="254"/>
      <c r="GA47" s="254"/>
      <c r="GB47" s="254"/>
      <c r="GC47" s="254"/>
      <c r="GD47" s="254"/>
      <c r="GE47" s="254"/>
      <c r="GF47" s="254"/>
      <c r="GG47" s="254"/>
      <c r="GH47" s="254"/>
      <c r="GI47" s="254"/>
      <c r="GJ47" s="254"/>
      <c r="GK47" s="254"/>
      <c r="GL47" s="254"/>
      <c r="GM47" s="254"/>
      <c r="GN47" s="254"/>
      <c r="GO47" s="254"/>
      <c r="GP47" s="254"/>
      <c r="GQ47" s="254"/>
      <c r="GR47" s="254"/>
      <c r="GS47" s="254"/>
      <c r="GT47" s="254"/>
      <c r="GU47" s="254"/>
      <c r="GV47" s="254"/>
      <c r="GW47" s="254"/>
      <c r="GX47" s="254"/>
      <c r="GY47" s="254"/>
      <c r="GZ47" s="254"/>
      <c r="HA47" s="254"/>
      <c r="HB47" s="254"/>
      <c r="HC47" s="254"/>
    </row>
    <row r="48" spans="163:211" ht="15" customHeight="1" x14ac:dyDescent="0.25">
      <c r="FG48" s="254"/>
      <c r="FH48" s="254"/>
      <c r="FI48" s="254"/>
      <c r="FJ48" s="254"/>
      <c r="FK48" s="254"/>
      <c r="FL48" s="254"/>
      <c r="FM48" s="254"/>
      <c r="FN48" s="254"/>
      <c r="FO48" s="254"/>
      <c r="FP48" s="254"/>
      <c r="FQ48" s="254"/>
      <c r="FR48" s="254"/>
      <c r="FS48" s="254"/>
      <c r="FT48" s="254"/>
      <c r="FU48" s="254"/>
      <c r="FV48" s="254"/>
      <c r="FW48" s="254"/>
      <c r="FX48" s="254"/>
      <c r="FY48" s="254"/>
      <c r="FZ48" s="254"/>
      <c r="GA48" s="254"/>
      <c r="GB48" s="254"/>
      <c r="GC48" s="254"/>
      <c r="GD48" s="254"/>
      <c r="GE48" s="254"/>
      <c r="GF48" s="254"/>
      <c r="GG48" s="254"/>
      <c r="GH48" s="254"/>
      <c r="GI48" s="254"/>
      <c r="GJ48" s="254"/>
      <c r="GK48" s="254"/>
      <c r="GL48" s="254"/>
      <c r="GM48" s="254"/>
      <c r="GN48" s="254"/>
      <c r="GO48" s="254"/>
      <c r="GP48" s="254"/>
      <c r="GQ48" s="254"/>
      <c r="GR48" s="254"/>
      <c r="GS48" s="254"/>
      <c r="GT48" s="254"/>
      <c r="GU48" s="254"/>
      <c r="GV48" s="254"/>
      <c r="GW48" s="254"/>
      <c r="GX48" s="254"/>
      <c r="GY48" s="254"/>
      <c r="GZ48" s="254"/>
      <c r="HA48" s="254"/>
      <c r="HB48" s="254"/>
      <c r="HC48" s="254"/>
    </row>
    <row r="49" spans="163:211" ht="15" customHeight="1" x14ac:dyDescent="0.25">
      <c r="FG49" s="254"/>
      <c r="FH49" s="254"/>
      <c r="FI49" s="254"/>
      <c r="FJ49" s="254"/>
      <c r="FK49" s="254"/>
      <c r="FL49" s="254"/>
      <c r="FM49" s="254"/>
      <c r="FN49" s="254"/>
      <c r="FO49" s="254"/>
      <c r="FP49" s="254"/>
      <c r="FQ49" s="254"/>
      <c r="FR49" s="254"/>
      <c r="FS49" s="254"/>
      <c r="FT49" s="254"/>
      <c r="FU49" s="254"/>
      <c r="FV49" s="254"/>
      <c r="FW49" s="254"/>
      <c r="FX49" s="254"/>
      <c r="FY49" s="254"/>
      <c r="FZ49" s="254"/>
      <c r="GA49" s="254"/>
      <c r="GB49" s="254"/>
      <c r="GC49" s="254"/>
      <c r="GD49" s="254"/>
      <c r="GE49" s="254"/>
      <c r="GF49" s="254"/>
      <c r="GG49" s="254"/>
      <c r="GH49" s="254"/>
      <c r="GI49" s="254"/>
      <c r="GJ49" s="254"/>
      <c r="GK49" s="254"/>
      <c r="GL49" s="254"/>
      <c r="GM49" s="254"/>
      <c r="GN49" s="254"/>
      <c r="GO49" s="254"/>
      <c r="GP49" s="254"/>
      <c r="GQ49" s="254"/>
      <c r="GR49" s="254"/>
      <c r="GS49" s="254"/>
      <c r="GT49" s="254"/>
      <c r="GU49" s="254"/>
      <c r="GV49" s="254"/>
      <c r="GW49" s="254"/>
      <c r="GX49" s="254"/>
      <c r="GY49" s="254"/>
      <c r="GZ49" s="254"/>
      <c r="HA49" s="254"/>
      <c r="HB49" s="254"/>
      <c r="HC49" s="254"/>
    </row>
    <row r="50" spans="163:211" ht="15" customHeight="1" x14ac:dyDescent="0.25">
      <c r="FG50" s="254"/>
      <c r="FH50" s="254"/>
      <c r="FI50" s="254"/>
      <c r="FJ50" s="254"/>
      <c r="FK50" s="254"/>
      <c r="FL50" s="254"/>
      <c r="FM50" s="254"/>
      <c r="FN50" s="254"/>
      <c r="FO50" s="254"/>
      <c r="FP50" s="254"/>
      <c r="FQ50" s="254"/>
      <c r="FR50" s="254"/>
      <c r="FS50" s="254"/>
      <c r="FT50" s="254"/>
      <c r="FU50" s="254"/>
      <c r="FV50" s="254"/>
      <c r="FW50" s="254"/>
      <c r="FX50" s="254"/>
      <c r="FY50" s="254"/>
      <c r="FZ50" s="254"/>
      <c r="GA50" s="254"/>
      <c r="GB50" s="254"/>
      <c r="GC50" s="254"/>
      <c r="GD50" s="254"/>
      <c r="GE50" s="254"/>
      <c r="GF50" s="254"/>
      <c r="GG50" s="254"/>
      <c r="GH50" s="254"/>
      <c r="GI50" s="254"/>
      <c r="GJ50" s="254"/>
      <c r="GK50" s="254"/>
      <c r="GL50" s="254"/>
      <c r="GM50" s="254"/>
      <c r="GN50" s="254"/>
      <c r="GO50" s="254"/>
      <c r="GP50" s="254"/>
      <c r="GQ50" s="254"/>
      <c r="GR50" s="254"/>
      <c r="GS50" s="254"/>
      <c r="GT50" s="254"/>
      <c r="GU50" s="254"/>
      <c r="GV50" s="254"/>
      <c r="GW50" s="254"/>
      <c r="GX50" s="254"/>
      <c r="GY50" s="254"/>
      <c r="GZ50" s="254"/>
      <c r="HA50" s="254"/>
      <c r="HB50" s="254"/>
      <c r="HC50" s="254"/>
    </row>
    <row r="51" spans="163:211" ht="15" customHeight="1" x14ac:dyDescent="0.25">
      <c r="FG51" s="254"/>
      <c r="FH51" s="254"/>
      <c r="FI51" s="254"/>
      <c r="FJ51" s="254"/>
      <c r="FK51" s="254"/>
      <c r="FL51" s="254"/>
      <c r="FM51" s="254"/>
      <c r="FN51" s="254"/>
      <c r="FO51" s="254"/>
      <c r="FP51" s="254"/>
      <c r="FQ51" s="254"/>
      <c r="FR51" s="254"/>
      <c r="FS51" s="254"/>
      <c r="FT51" s="254"/>
      <c r="FU51" s="254"/>
      <c r="FV51" s="254"/>
      <c r="FW51" s="254"/>
      <c r="FX51" s="254"/>
      <c r="FY51" s="254"/>
      <c r="FZ51" s="254"/>
      <c r="GA51" s="254"/>
      <c r="GB51" s="254"/>
      <c r="GC51" s="254"/>
      <c r="GD51" s="254"/>
      <c r="GE51" s="254"/>
      <c r="GF51" s="254"/>
      <c r="GG51" s="254"/>
      <c r="GH51" s="254"/>
      <c r="GI51" s="254"/>
      <c r="GJ51" s="254"/>
      <c r="GK51" s="254"/>
      <c r="GL51" s="254"/>
      <c r="GM51" s="254"/>
      <c r="GN51" s="254"/>
      <c r="GO51" s="254"/>
      <c r="GP51" s="254"/>
      <c r="GQ51" s="254"/>
      <c r="GR51" s="254"/>
      <c r="GS51" s="254"/>
      <c r="GT51" s="254"/>
      <c r="GU51" s="254"/>
      <c r="GV51" s="254"/>
      <c r="GW51" s="254"/>
      <c r="GX51" s="254"/>
      <c r="GY51" s="254"/>
      <c r="GZ51" s="254"/>
      <c r="HA51" s="254"/>
      <c r="HB51" s="254"/>
      <c r="HC51" s="254"/>
    </row>
    <row r="52" spans="163:211" ht="15" customHeight="1" x14ac:dyDescent="0.25">
      <c r="FG52" s="254"/>
      <c r="FH52" s="254"/>
      <c r="FI52" s="254"/>
      <c r="FJ52" s="254"/>
      <c r="FK52" s="254"/>
      <c r="FL52" s="254"/>
      <c r="FM52" s="254"/>
      <c r="FN52" s="254"/>
      <c r="FO52" s="254"/>
      <c r="FP52" s="254"/>
      <c r="FQ52" s="254"/>
      <c r="FR52" s="254"/>
      <c r="FS52" s="254"/>
      <c r="FT52" s="254"/>
      <c r="FU52" s="254"/>
      <c r="FV52" s="254"/>
      <c r="FW52" s="254"/>
      <c r="FX52" s="254"/>
      <c r="FY52" s="254"/>
      <c r="FZ52" s="254"/>
      <c r="GA52" s="254"/>
      <c r="GB52" s="254"/>
      <c r="GC52" s="254"/>
      <c r="GD52" s="254"/>
      <c r="GE52" s="254"/>
      <c r="GF52" s="254"/>
      <c r="GG52" s="254"/>
      <c r="GH52" s="254"/>
      <c r="GI52" s="254"/>
      <c r="GJ52" s="254"/>
      <c r="GK52" s="254"/>
      <c r="GL52" s="254"/>
      <c r="GM52" s="254"/>
      <c r="GN52" s="254"/>
      <c r="GO52" s="254"/>
      <c r="GP52" s="254"/>
      <c r="GQ52" s="254"/>
      <c r="GR52" s="254"/>
      <c r="GS52" s="254"/>
      <c r="GT52" s="254"/>
      <c r="GU52" s="254"/>
      <c r="GV52" s="254"/>
      <c r="GW52" s="254"/>
      <c r="GX52" s="254"/>
      <c r="GY52" s="254"/>
      <c r="GZ52" s="254"/>
      <c r="HA52" s="254"/>
      <c r="HB52" s="254"/>
      <c r="HC52" s="254"/>
    </row>
    <row r="53" spans="163:211" ht="15" customHeight="1" x14ac:dyDescent="0.25">
      <c r="FG53" s="254"/>
      <c r="FH53" s="254"/>
      <c r="FI53" s="254"/>
      <c r="FJ53" s="254"/>
      <c r="FK53" s="254"/>
      <c r="FL53" s="254"/>
      <c r="FM53" s="254"/>
      <c r="FN53" s="254"/>
      <c r="FO53" s="254"/>
      <c r="FP53" s="254"/>
      <c r="FQ53" s="254"/>
      <c r="FR53" s="254"/>
      <c r="FS53" s="254"/>
      <c r="FT53" s="254"/>
      <c r="FU53" s="254"/>
      <c r="FV53" s="254"/>
      <c r="FW53" s="254"/>
      <c r="FX53" s="254"/>
      <c r="FY53" s="254"/>
      <c r="FZ53" s="254"/>
      <c r="GA53" s="254"/>
      <c r="GB53" s="254"/>
      <c r="GC53" s="254"/>
      <c r="GD53" s="254"/>
      <c r="GE53" s="254"/>
      <c r="GF53" s="254"/>
      <c r="GG53" s="254"/>
      <c r="GH53" s="254"/>
      <c r="GI53" s="254"/>
      <c r="GJ53" s="254"/>
      <c r="GK53" s="254"/>
      <c r="GL53" s="254"/>
      <c r="GM53" s="254"/>
      <c r="GN53" s="254"/>
      <c r="GO53" s="254"/>
      <c r="GP53" s="254"/>
      <c r="GQ53" s="254"/>
      <c r="GR53" s="254"/>
      <c r="GS53" s="254"/>
      <c r="GT53" s="254"/>
      <c r="GU53" s="254"/>
      <c r="GV53" s="254"/>
      <c r="GW53" s="254"/>
      <c r="GX53" s="254"/>
      <c r="GY53" s="254"/>
      <c r="GZ53" s="254"/>
      <c r="HA53" s="254"/>
      <c r="HB53" s="254"/>
      <c r="HC53" s="254"/>
    </row>
    <row r="54" spans="163:211" ht="15" customHeight="1" x14ac:dyDescent="0.25">
      <c r="FG54" s="254"/>
      <c r="FH54" s="254"/>
      <c r="FI54" s="254"/>
      <c r="FJ54" s="254"/>
      <c r="FK54" s="254"/>
      <c r="FL54" s="254"/>
      <c r="FM54" s="254"/>
      <c r="FN54" s="254"/>
      <c r="FO54" s="254"/>
      <c r="FP54" s="254"/>
      <c r="FQ54" s="254"/>
      <c r="FR54" s="254"/>
      <c r="FS54" s="254"/>
      <c r="FT54" s="254"/>
      <c r="FU54" s="254"/>
      <c r="FV54" s="254"/>
      <c r="FW54" s="254"/>
      <c r="FX54" s="254"/>
      <c r="FY54" s="254"/>
      <c r="FZ54" s="254"/>
      <c r="GA54" s="254"/>
      <c r="GB54" s="254"/>
      <c r="GC54" s="254"/>
      <c r="GD54" s="254"/>
      <c r="GE54" s="254"/>
      <c r="GF54" s="254"/>
      <c r="GG54" s="254"/>
      <c r="GH54" s="254"/>
      <c r="GI54" s="254"/>
      <c r="GJ54" s="254"/>
      <c r="GK54" s="254"/>
      <c r="GL54" s="254"/>
      <c r="GM54" s="254"/>
      <c r="GN54" s="254"/>
      <c r="GO54" s="254"/>
      <c r="GP54" s="254"/>
      <c r="GQ54" s="254"/>
      <c r="GR54" s="254"/>
      <c r="GS54" s="254"/>
      <c r="GT54" s="254"/>
      <c r="GU54" s="254"/>
      <c r="GV54" s="254"/>
      <c r="GW54" s="254"/>
      <c r="GX54" s="254"/>
      <c r="GY54" s="254"/>
      <c r="GZ54" s="254"/>
      <c r="HA54" s="254"/>
      <c r="HB54" s="254"/>
      <c r="HC54" s="254"/>
    </row>
    <row r="55" spans="163:211" ht="15" customHeight="1" x14ac:dyDescent="0.25">
      <c r="FG55" s="254"/>
      <c r="FH55" s="254"/>
      <c r="FI55" s="254"/>
      <c r="FJ55" s="254"/>
      <c r="FK55" s="254"/>
      <c r="FL55" s="254"/>
      <c r="FM55" s="254"/>
      <c r="FN55" s="254"/>
      <c r="FO55" s="254"/>
      <c r="FP55" s="254"/>
      <c r="FQ55" s="254"/>
      <c r="FR55" s="254"/>
      <c r="FS55" s="254"/>
      <c r="FT55" s="254"/>
      <c r="FU55" s="254"/>
      <c r="FV55" s="254"/>
      <c r="FW55" s="254"/>
      <c r="FX55" s="254"/>
      <c r="FY55" s="254"/>
      <c r="FZ55" s="254"/>
      <c r="GA55" s="254"/>
      <c r="GB55" s="254"/>
      <c r="GC55" s="254"/>
      <c r="GD55" s="254"/>
      <c r="GE55" s="254"/>
      <c r="GF55" s="254"/>
      <c r="GG55" s="254"/>
      <c r="GH55" s="254"/>
      <c r="GI55" s="254"/>
      <c r="GJ55" s="254"/>
      <c r="GK55" s="254"/>
      <c r="GL55" s="254"/>
      <c r="GM55" s="254"/>
      <c r="GN55" s="254"/>
      <c r="GO55" s="254"/>
      <c r="GP55" s="254"/>
      <c r="GQ55" s="254"/>
      <c r="GR55" s="254"/>
      <c r="GS55" s="254"/>
      <c r="GT55" s="254"/>
      <c r="GU55" s="254"/>
      <c r="GV55" s="254"/>
      <c r="GW55" s="254"/>
      <c r="GX55" s="254"/>
      <c r="GY55" s="254"/>
      <c r="GZ55" s="254"/>
      <c r="HA55" s="254"/>
      <c r="HB55" s="254"/>
      <c r="HC55" s="254"/>
    </row>
    <row r="56" spans="163:211" ht="15" customHeight="1" x14ac:dyDescent="0.25">
      <c r="FG56" s="254"/>
      <c r="FH56" s="254"/>
      <c r="FI56" s="254"/>
      <c r="FJ56" s="254"/>
      <c r="FK56" s="254"/>
      <c r="FL56" s="254"/>
      <c r="FM56" s="254"/>
      <c r="FN56" s="254"/>
      <c r="FO56" s="254"/>
      <c r="FP56" s="254"/>
      <c r="FQ56" s="254"/>
      <c r="FR56" s="254"/>
      <c r="FS56" s="254"/>
      <c r="FT56" s="254"/>
      <c r="FU56" s="254"/>
      <c r="FV56" s="254"/>
      <c r="FW56" s="254"/>
      <c r="FX56" s="254"/>
      <c r="FY56" s="254"/>
      <c r="FZ56" s="254"/>
      <c r="GA56" s="254"/>
      <c r="GB56" s="254"/>
      <c r="GC56" s="254"/>
      <c r="GD56" s="254"/>
      <c r="GE56" s="254"/>
      <c r="GF56" s="254"/>
      <c r="GG56" s="254"/>
      <c r="GH56" s="254"/>
      <c r="GI56" s="254"/>
      <c r="GJ56" s="254"/>
      <c r="GK56" s="254"/>
      <c r="GL56" s="254"/>
      <c r="GM56" s="254"/>
      <c r="GN56" s="254"/>
      <c r="GO56" s="254"/>
      <c r="GP56" s="254"/>
      <c r="GQ56" s="254"/>
      <c r="GR56" s="254"/>
      <c r="GS56" s="254"/>
      <c r="GT56" s="254"/>
      <c r="GU56" s="254"/>
      <c r="GV56" s="254"/>
      <c r="GW56" s="254"/>
      <c r="GX56" s="254"/>
      <c r="GY56" s="254"/>
      <c r="GZ56" s="254"/>
      <c r="HA56" s="254"/>
      <c r="HB56" s="254"/>
      <c r="HC56" s="254"/>
    </row>
    <row r="57" spans="163:211" ht="15" customHeight="1" x14ac:dyDescent="0.25">
      <c r="FG57" s="254"/>
      <c r="FH57" s="254"/>
      <c r="FI57" s="254"/>
      <c r="FJ57" s="254"/>
      <c r="FK57" s="254"/>
      <c r="FL57" s="254"/>
      <c r="FM57" s="254"/>
      <c r="FN57" s="254"/>
      <c r="FO57" s="254"/>
      <c r="FP57" s="254"/>
      <c r="FQ57" s="254"/>
      <c r="FR57" s="254"/>
      <c r="FS57" s="254"/>
      <c r="FT57" s="254"/>
      <c r="FU57" s="254"/>
      <c r="FV57" s="254"/>
      <c r="FW57" s="254"/>
      <c r="FX57" s="254"/>
      <c r="FY57" s="254"/>
      <c r="FZ57" s="254"/>
      <c r="GA57" s="254"/>
      <c r="GB57" s="254"/>
      <c r="GC57" s="254"/>
      <c r="GD57" s="254"/>
      <c r="GE57" s="254"/>
      <c r="GF57" s="254"/>
      <c r="GG57" s="254"/>
      <c r="GH57" s="254"/>
      <c r="GI57" s="254"/>
      <c r="GJ57" s="254"/>
      <c r="GK57" s="254"/>
      <c r="GL57" s="254"/>
      <c r="GM57" s="254"/>
      <c r="GN57" s="254"/>
      <c r="GO57" s="254"/>
      <c r="GP57" s="254"/>
      <c r="GQ57" s="254"/>
      <c r="GR57" s="254"/>
      <c r="GS57" s="254"/>
      <c r="GT57" s="254"/>
      <c r="GU57" s="254"/>
      <c r="GV57" s="254"/>
      <c r="GW57" s="254"/>
      <c r="GX57" s="254"/>
      <c r="GY57" s="254"/>
      <c r="GZ57" s="254"/>
      <c r="HA57" s="254"/>
      <c r="HB57" s="254"/>
      <c r="HC57" s="254"/>
    </row>
    <row r="58" spans="163:211" ht="15" customHeight="1" x14ac:dyDescent="0.25">
      <c r="FG58" s="254"/>
      <c r="FH58" s="254"/>
      <c r="FI58" s="254"/>
      <c r="FJ58" s="254"/>
      <c r="FK58" s="254"/>
      <c r="FL58" s="254"/>
      <c r="FM58" s="254"/>
      <c r="FN58" s="254"/>
      <c r="FO58" s="254"/>
      <c r="FP58" s="254"/>
      <c r="FQ58" s="254"/>
      <c r="FR58" s="254"/>
      <c r="FS58" s="254"/>
      <c r="FT58" s="254"/>
      <c r="FU58" s="254"/>
      <c r="FV58" s="254"/>
      <c r="FW58" s="254"/>
      <c r="FX58" s="254"/>
      <c r="FY58" s="254"/>
      <c r="FZ58" s="254"/>
      <c r="GA58" s="254"/>
      <c r="GB58" s="254"/>
      <c r="GC58" s="254"/>
      <c r="GD58" s="254"/>
      <c r="GE58" s="254"/>
      <c r="GF58" s="254"/>
      <c r="GG58" s="254"/>
      <c r="GH58" s="254"/>
      <c r="GI58" s="254"/>
      <c r="GJ58" s="254"/>
      <c r="GK58" s="254"/>
      <c r="GL58" s="254"/>
      <c r="GM58" s="254"/>
      <c r="GN58" s="254"/>
      <c r="GO58" s="254"/>
      <c r="GP58" s="254"/>
      <c r="GQ58" s="254"/>
      <c r="GR58" s="254"/>
      <c r="GS58" s="254"/>
      <c r="GT58" s="254"/>
      <c r="GU58" s="254"/>
      <c r="GV58" s="254"/>
      <c r="GW58" s="254"/>
      <c r="GX58" s="254"/>
      <c r="GY58" s="254"/>
      <c r="GZ58" s="254"/>
      <c r="HA58" s="254"/>
      <c r="HB58" s="254"/>
      <c r="HC58" s="254"/>
    </row>
    <row r="59" spans="163:211" ht="15" customHeight="1" x14ac:dyDescent="0.25">
      <c r="FG59" s="254"/>
      <c r="FH59" s="254"/>
      <c r="FI59" s="254"/>
      <c r="FJ59" s="254"/>
      <c r="FK59" s="254"/>
      <c r="FL59" s="254"/>
      <c r="FM59" s="254"/>
      <c r="FN59" s="254"/>
      <c r="FO59" s="254"/>
      <c r="FP59" s="254"/>
      <c r="FQ59" s="254"/>
      <c r="FR59" s="254"/>
      <c r="FS59" s="254"/>
      <c r="FT59" s="254"/>
      <c r="FU59" s="254"/>
      <c r="FV59" s="254"/>
      <c r="FW59" s="254"/>
      <c r="FX59" s="254"/>
      <c r="FY59" s="254"/>
      <c r="FZ59" s="254"/>
      <c r="GA59" s="254"/>
      <c r="GB59" s="254"/>
      <c r="GC59" s="254"/>
      <c r="GD59" s="254"/>
      <c r="GE59" s="254"/>
      <c r="GF59" s="254"/>
      <c r="GG59" s="254"/>
      <c r="GH59" s="254"/>
      <c r="GI59" s="254"/>
      <c r="GJ59" s="254"/>
      <c r="GK59" s="254"/>
      <c r="GL59" s="254"/>
      <c r="GM59" s="254"/>
      <c r="GN59" s="254"/>
      <c r="GO59" s="254"/>
      <c r="GP59" s="254"/>
      <c r="GQ59" s="254"/>
      <c r="GR59" s="254"/>
      <c r="GS59" s="254"/>
      <c r="GT59" s="254"/>
      <c r="GU59" s="254"/>
      <c r="GV59" s="254"/>
      <c r="GW59" s="254"/>
      <c r="GX59" s="254"/>
      <c r="GY59" s="254"/>
      <c r="GZ59" s="254"/>
      <c r="HA59" s="254"/>
      <c r="HB59" s="254"/>
      <c r="HC59" s="254"/>
    </row>
    <row r="60" spans="163:211" ht="15" customHeight="1" x14ac:dyDescent="0.25">
      <c r="FG60" s="254"/>
      <c r="FH60" s="254"/>
      <c r="FI60" s="254"/>
      <c r="FJ60" s="254"/>
      <c r="FK60" s="254"/>
      <c r="FL60" s="254"/>
      <c r="FM60" s="254"/>
      <c r="FN60" s="254"/>
      <c r="FO60" s="254"/>
      <c r="FP60" s="254"/>
      <c r="FQ60" s="254"/>
      <c r="FR60" s="254"/>
      <c r="FS60" s="254"/>
      <c r="FT60" s="254"/>
      <c r="FU60" s="254"/>
      <c r="FV60" s="254"/>
      <c r="FW60" s="254"/>
      <c r="FX60" s="254"/>
      <c r="FY60" s="254"/>
      <c r="FZ60" s="254"/>
      <c r="GA60" s="254"/>
      <c r="GB60" s="254"/>
      <c r="GC60" s="254"/>
      <c r="GD60" s="254"/>
      <c r="GE60" s="254"/>
      <c r="GF60" s="254"/>
      <c r="GG60" s="254"/>
      <c r="GH60" s="254"/>
      <c r="GI60" s="254"/>
      <c r="GJ60" s="254"/>
      <c r="GK60" s="254"/>
      <c r="GL60" s="254"/>
      <c r="GM60" s="254"/>
      <c r="GN60" s="254"/>
      <c r="GO60" s="254"/>
      <c r="GP60" s="254"/>
      <c r="GQ60" s="254"/>
      <c r="GR60" s="254"/>
      <c r="GS60" s="254"/>
      <c r="GT60" s="254"/>
      <c r="GU60" s="254"/>
      <c r="GV60" s="254"/>
      <c r="GW60" s="254"/>
      <c r="GX60" s="254"/>
      <c r="GY60" s="254"/>
      <c r="GZ60" s="254"/>
      <c r="HA60" s="254"/>
      <c r="HB60" s="254"/>
      <c r="HC60" s="254"/>
    </row>
    <row r="61" spans="163:211" ht="15" customHeight="1" x14ac:dyDescent="0.25">
      <c r="FG61" s="254"/>
      <c r="FH61" s="254"/>
      <c r="FI61" s="254"/>
      <c r="FJ61" s="254"/>
      <c r="FK61" s="254"/>
      <c r="FL61" s="254"/>
      <c r="FM61" s="254"/>
      <c r="FN61" s="254"/>
      <c r="FO61" s="254"/>
      <c r="FP61" s="254"/>
      <c r="FQ61" s="254"/>
      <c r="FR61" s="254"/>
      <c r="FS61" s="254"/>
      <c r="FT61" s="254"/>
      <c r="FU61" s="254"/>
      <c r="FV61" s="254"/>
      <c r="FW61" s="254"/>
      <c r="FX61" s="254"/>
      <c r="FY61" s="254"/>
      <c r="FZ61" s="254"/>
      <c r="GA61" s="254"/>
      <c r="GB61" s="254"/>
      <c r="GC61" s="254"/>
      <c r="GD61" s="254"/>
      <c r="GE61" s="254"/>
      <c r="GF61" s="254"/>
      <c r="GG61" s="254"/>
      <c r="GH61" s="254"/>
      <c r="GI61" s="254"/>
      <c r="GJ61" s="254"/>
      <c r="GK61" s="254"/>
      <c r="GL61" s="254"/>
      <c r="GM61" s="254"/>
      <c r="GN61" s="254"/>
      <c r="GO61" s="254"/>
      <c r="GP61" s="254"/>
      <c r="GQ61" s="254"/>
      <c r="GR61" s="254"/>
      <c r="GS61" s="254"/>
      <c r="GT61" s="254"/>
      <c r="GU61" s="254"/>
      <c r="GV61" s="254"/>
      <c r="GW61" s="254"/>
      <c r="GX61" s="254"/>
      <c r="GY61" s="254"/>
      <c r="GZ61" s="254"/>
      <c r="HA61" s="254"/>
      <c r="HB61" s="254"/>
      <c r="HC61" s="254"/>
    </row>
    <row r="62" spans="163:211" ht="15" customHeight="1" x14ac:dyDescent="0.25">
      <c r="FG62" s="254"/>
      <c r="FH62" s="254"/>
      <c r="FI62" s="254"/>
      <c r="FJ62" s="254"/>
      <c r="FK62" s="254"/>
      <c r="FL62" s="254"/>
      <c r="FM62" s="254"/>
      <c r="FN62" s="254"/>
      <c r="FO62" s="254"/>
      <c r="FP62" s="254"/>
      <c r="FQ62" s="254"/>
      <c r="FR62" s="254"/>
      <c r="FS62" s="254"/>
      <c r="FT62" s="254"/>
      <c r="FU62" s="254"/>
      <c r="FV62" s="254"/>
      <c r="FW62" s="254"/>
      <c r="FX62" s="254"/>
      <c r="FY62" s="254"/>
      <c r="FZ62" s="254"/>
      <c r="GA62" s="254"/>
      <c r="GB62" s="254"/>
      <c r="GC62" s="254"/>
      <c r="GD62" s="254"/>
      <c r="GE62" s="254"/>
      <c r="GF62" s="254"/>
      <c r="GG62" s="254"/>
      <c r="GH62" s="254"/>
      <c r="GI62" s="254"/>
      <c r="GJ62" s="254"/>
      <c r="GK62" s="254"/>
      <c r="GL62" s="254"/>
      <c r="GM62" s="254"/>
      <c r="GN62" s="254"/>
      <c r="GO62" s="254"/>
      <c r="GP62" s="254"/>
      <c r="GQ62" s="254"/>
      <c r="GR62" s="254"/>
      <c r="GS62" s="254"/>
      <c r="GT62" s="254"/>
      <c r="GU62" s="254"/>
      <c r="GV62" s="254"/>
      <c r="GW62" s="254"/>
      <c r="GX62" s="254"/>
      <c r="GY62" s="254"/>
      <c r="GZ62" s="254"/>
      <c r="HA62" s="254"/>
      <c r="HB62" s="254"/>
      <c r="HC62" s="254"/>
    </row>
    <row r="63" spans="163:211" ht="15" customHeight="1" x14ac:dyDescent="0.25">
      <c r="FG63" s="254"/>
      <c r="FH63" s="254"/>
      <c r="FI63" s="254"/>
      <c r="FJ63" s="254"/>
      <c r="FK63" s="254"/>
      <c r="FL63" s="254"/>
      <c r="FM63" s="254"/>
      <c r="FN63" s="254"/>
      <c r="FO63" s="254"/>
      <c r="FP63" s="254"/>
      <c r="FQ63" s="254"/>
      <c r="FR63" s="254"/>
      <c r="FS63" s="254"/>
      <c r="FT63" s="254"/>
      <c r="FU63" s="254"/>
      <c r="FV63" s="254"/>
      <c r="FW63" s="254"/>
      <c r="FX63" s="254"/>
      <c r="FY63" s="254"/>
      <c r="FZ63" s="254"/>
      <c r="GA63" s="254"/>
      <c r="GB63" s="254"/>
      <c r="GC63" s="254"/>
      <c r="GD63" s="254"/>
      <c r="GE63" s="254"/>
      <c r="GF63" s="254"/>
      <c r="GG63" s="254"/>
      <c r="GH63" s="254"/>
      <c r="GI63" s="254"/>
      <c r="GJ63" s="254"/>
      <c r="GK63" s="254"/>
      <c r="GL63" s="254"/>
      <c r="GM63" s="254"/>
      <c r="GN63" s="254"/>
      <c r="GO63" s="254"/>
      <c r="GP63" s="254"/>
      <c r="GQ63" s="254"/>
      <c r="GR63" s="254"/>
      <c r="GS63" s="254"/>
      <c r="GT63" s="254"/>
      <c r="GU63" s="254"/>
      <c r="GV63" s="254"/>
      <c r="GW63" s="254"/>
      <c r="GX63" s="254"/>
      <c r="GY63" s="254"/>
      <c r="GZ63" s="254"/>
      <c r="HA63" s="254"/>
      <c r="HB63" s="254"/>
      <c r="HC63" s="254"/>
    </row>
    <row r="64" spans="163:211" ht="15" customHeight="1" x14ac:dyDescent="0.25">
      <c r="FG64" s="254"/>
      <c r="FH64" s="254"/>
      <c r="FI64" s="254"/>
      <c r="FJ64" s="254"/>
      <c r="FK64" s="254"/>
      <c r="FL64" s="254"/>
      <c r="FM64" s="254"/>
      <c r="FN64" s="254"/>
      <c r="FO64" s="254"/>
      <c r="FP64" s="254"/>
      <c r="FQ64" s="254"/>
      <c r="FR64" s="254"/>
      <c r="FS64" s="254"/>
      <c r="FT64" s="254"/>
      <c r="FU64" s="254"/>
      <c r="FV64" s="254"/>
      <c r="FW64" s="254"/>
      <c r="FX64" s="254"/>
      <c r="FY64" s="254"/>
      <c r="FZ64" s="254"/>
      <c r="GA64" s="254"/>
      <c r="GB64" s="254"/>
      <c r="GC64" s="254"/>
      <c r="GD64" s="254"/>
      <c r="GE64" s="254"/>
      <c r="GF64" s="254"/>
      <c r="GG64" s="254"/>
      <c r="GH64" s="254"/>
      <c r="GI64" s="254"/>
      <c r="GJ64" s="254"/>
      <c r="GK64" s="254"/>
      <c r="GL64" s="254"/>
      <c r="GM64" s="254"/>
      <c r="GN64" s="254"/>
      <c r="GO64" s="254"/>
      <c r="GP64" s="254"/>
      <c r="GQ64" s="254"/>
      <c r="GR64" s="254"/>
      <c r="GS64" s="254"/>
      <c r="GT64" s="254"/>
      <c r="GU64" s="254"/>
      <c r="GV64" s="254"/>
      <c r="GW64" s="254"/>
      <c r="GX64" s="254"/>
      <c r="GY64" s="254"/>
      <c r="GZ64" s="254"/>
      <c r="HA64" s="254"/>
      <c r="HB64" s="254"/>
      <c r="HC64" s="254"/>
    </row>
    <row r="65" spans="163:211" ht="15" customHeight="1" x14ac:dyDescent="0.25">
      <c r="FG65" s="254"/>
      <c r="FH65" s="254"/>
      <c r="FI65" s="254"/>
      <c r="FJ65" s="254"/>
      <c r="FK65" s="254"/>
      <c r="FL65" s="254"/>
      <c r="FM65" s="254"/>
      <c r="FN65" s="254"/>
      <c r="FO65" s="254"/>
      <c r="FP65" s="254"/>
      <c r="FQ65" s="254"/>
      <c r="FR65" s="254"/>
      <c r="FS65" s="254"/>
      <c r="FT65" s="254"/>
      <c r="FU65" s="254"/>
      <c r="FV65" s="254"/>
      <c r="FW65" s="254"/>
      <c r="FX65" s="254"/>
      <c r="FY65" s="254"/>
      <c r="FZ65" s="254"/>
      <c r="GA65" s="254"/>
      <c r="GB65" s="254"/>
      <c r="GC65" s="254"/>
      <c r="GD65" s="254"/>
      <c r="GE65" s="254"/>
      <c r="GF65" s="254"/>
      <c r="GG65" s="254"/>
      <c r="GH65" s="254"/>
      <c r="GI65" s="254"/>
      <c r="GJ65" s="254"/>
      <c r="GK65" s="254"/>
      <c r="GL65" s="254"/>
      <c r="GM65" s="254"/>
      <c r="GN65" s="254"/>
      <c r="GO65" s="254"/>
      <c r="GP65" s="254"/>
      <c r="GQ65" s="254"/>
      <c r="GR65" s="254"/>
      <c r="GS65" s="254"/>
      <c r="GT65" s="254"/>
      <c r="GU65" s="254"/>
      <c r="GV65" s="254"/>
      <c r="GW65" s="254"/>
      <c r="GX65" s="254"/>
      <c r="GY65" s="254"/>
      <c r="GZ65" s="254"/>
      <c r="HA65" s="254"/>
      <c r="HB65" s="254"/>
      <c r="HC65" s="254"/>
    </row>
    <row r="66" spans="163:211" ht="15" customHeight="1" x14ac:dyDescent="0.25">
      <c r="FG66" s="254"/>
      <c r="FH66" s="254"/>
      <c r="FI66" s="254"/>
      <c r="FJ66" s="254"/>
      <c r="FK66" s="254"/>
      <c r="FL66" s="254"/>
      <c r="FM66" s="254"/>
      <c r="FN66" s="254"/>
      <c r="FO66" s="254"/>
      <c r="FP66" s="254"/>
      <c r="FQ66" s="254"/>
      <c r="FR66" s="254"/>
      <c r="FS66" s="254"/>
      <c r="FT66" s="254"/>
      <c r="FU66" s="254"/>
      <c r="FV66" s="254"/>
      <c r="FW66" s="254"/>
      <c r="FX66" s="254"/>
      <c r="FY66" s="254"/>
      <c r="FZ66" s="254"/>
      <c r="GA66" s="254"/>
      <c r="GB66" s="254"/>
      <c r="GC66" s="254"/>
      <c r="GD66" s="254"/>
      <c r="GE66" s="254"/>
      <c r="GF66" s="254"/>
      <c r="GG66" s="254"/>
      <c r="GH66" s="254"/>
      <c r="GI66" s="254"/>
      <c r="GJ66" s="254"/>
      <c r="GK66" s="254"/>
      <c r="GL66" s="254"/>
      <c r="GM66" s="254"/>
      <c r="GN66" s="254"/>
      <c r="GO66" s="254"/>
      <c r="GP66" s="254"/>
      <c r="GQ66" s="254"/>
      <c r="GR66" s="254"/>
      <c r="GS66" s="254"/>
      <c r="GT66" s="254"/>
      <c r="GU66" s="254"/>
      <c r="GV66" s="254"/>
      <c r="GW66" s="254"/>
      <c r="GX66" s="254"/>
      <c r="GY66" s="254"/>
      <c r="GZ66" s="254"/>
      <c r="HA66" s="254"/>
      <c r="HB66" s="254"/>
      <c r="HC66" s="254"/>
    </row>
    <row r="67" spans="163:211" ht="15" customHeight="1" x14ac:dyDescent="0.25">
      <c r="FG67" s="254"/>
      <c r="FH67" s="254"/>
      <c r="FI67" s="254"/>
      <c r="FJ67" s="254"/>
      <c r="FK67" s="254"/>
      <c r="FL67" s="254"/>
      <c r="FM67" s="254"/>
      <c r="FN67" s="254"/>
      <c r="FO67" s="254"/>
      <c r="FP67" s="254"/>
      <c r="FQ67" s="254"/>
      <c r="FR67" s="254"/>
      <c r="FS67" s="254"/>
      <c r="FT67" s="254"/>
      <c r="FU67" s="254"/>
      <c r="FV67" s="254"/>
      <c r="FW67" s="254"/>
      <c r="FX67" s="254"/>
      <c r="FY67" s="254"/>
      <c r="FZ67" s="254"/>
      <c r="GA67" s="254"/>
      <c r="GB67" s="254"/>
      <c r="GC67" s="254"/>
      <c r="GD67" s="254"/>
      <c r="GE67" s="254"/>
      <c r="GF67" s="254"/>
      <c r="GG67" s="254"/>
      <c r="GH67" s="254"/>
      <c r="GI67" s="254"/>
      <c r="GJ67" s="254"/>
      <c r="GK67" s="254"/>
      <c r="GL67" s="254"/>
      <c r="GM67" s="254"/>
      <c r="GN67" s="254"/>
      <c r="GO67" s="254"/>
      <c r="GP67" s="254"/>
      <c r="GQ67" s="254"/>
      <c r="GR67" s="254"/>
      <c r="GS67" s="254"/>
      <c r="GT67" s="254"/>
      <c r="GU67" s="254"/>
      <c r="GV67" s="254"/>
      <c r="GW67" s="254"/>
      <c r="GX67" s="254"/>
      <c r="GY67" s="254"/>
      <c r="GZ67" s="254"/>
      <c r="HA67" s="254"/>
      <c r="HB67" s="254"/>
      <c r="HC67" s="254"/>
    </row>
    <row r="68" spans="163:211" ht="15" customHeight="1" x14ac:dyDescent="0.25">
      <c r="FG68" s="254"/>
      <c r="FH68" s="254"/>
      <c r="FI68" s="254"/>
      <c r="FJ68" s="254"/>
      <c r="FK68" s="254"/>
      <c r="FL68" s="254"/>
      <c r="FM68" s="254"/>
      <c r="FN68" s="254"/>
      <c r="FO68" s="254"/>
      <c r="FP68" s="254"/>
      <c r="FQ68" s="254"/>
      <c r="FR68" s="254"/>
      <c r="FS68" s="254"/>
      <c r="FT68" s="254"/>
      <c r="FU68" s="254"/>
      <c r="FV68" s="254"/>
      <c r="FW68" s="254"/>
      <c r="FX68" s="254"/>
      <c r="FY68" s="254"/>
      <c r="FZ68" s="254"/>
      <c r="GA68" s="254"/>
      <c r="GB68" s="254"/>
      <c r="GC68" s="254"/>
      <c r="GD68" s="254"/>
      <c r="GE68" s="254"/>
      <c r="GF68" s="254"/>
      <c r="GG68" s="254"/>
      <c r="GH68" s="254"/>
      <c r="GI68" s="254"/>
      <c r="GJ68" s="254"/>
      <c r="GK68" s="254"/>
      <c r="GL68" s="254"/>
      <c r="GM68" s="254"/>
      <c r="GN68" s="254"/>
      <c r="GO68" s="254"/>
      <c r="GP68" s="254"/>
      <c r="GQ68" s="254"/>
      <c r="GR68" s="254"/>
      <c r="GS68" s="254"/>
      <c r="GT68" s="254"/>
      <c r="GU68" s="254"/>
      <c r="GV68" s="254"/>
      <c r="GW68" s="254"/>
      <c r="GX68" s="254"/>
      <c r="GY68" s="254"/>
      <c r="GZ68" s="254"/>
      <c r="HA68" s="254"/>
      <c r="HB68" s="254"/>
      <c r="HC68" s="254"/>
    </row>
    <row r="69" spans="163:211" ht="15" customHeight="1" x14ac:dyDescent="0.25">
      <c r="FG69" s="254"/>
      <c r="FH69" s="254"/>
      <c r="FI69" s="254"/>
      <c r="FJ69" s="254"/>
      <c r="FK69" s="254"/>
      <c r="FL69" s="254"/>
      <c r="FM69" s="254"/>
      <c r="FN69" s="254"/>
      <c r="FO69" s="254"/>
      <c r="FP69" s="254"/>
      <c r="FQ69" s="254"/>
      <c r="FR69" s="254"/>
      <c r="FS69" s="254"/>
      <c r="FT69" s="254"/>
      <c r="FU69" s="254"/>
      <c r="FV69" s="254"/>
      <c r="FW69" s="254"/>
      <c r="FX69" s="254"/>
      <c r="FY69" s="254"/>
      <c r="FZ69" s="254"/>
      <c r="GA69" s="254"/>
      <c r="GB69" s="254"/>
      <c r="GC69" s="254"/>
      <c r="GD69" s="254"/>
      <c r="GE69" s="254"/>
      <c r="GF69" s="254"/>
      <c r="GG69" s="254"/>
      <c r="GH69" s="254"/>
      <c r="GI69" s="254"/>
      <c r="GJ69" s="254"/>
      <c r="GK69" s="254"/>
      <c r="GL69" s="254"/>
      <c r="GM69" s="254"/>
      <c r="GN69" s="254"/>
      <c r="GO69" s="254"/>
      <c r="GP69" s="254"/>
      <c r="GQ69" s="254"/>
      <c r="GR69" s="254"/>
      <c r="GS69" s="254"/>
      <c r="GT69" s="254"/>
      <c r="GU69" s="254"/>
      <c r="GV69" s="254"/>
      <c r="GW69" s="254"/>
      <c r="GX69" s="254"/>
      <c r="GY69" s="254"/>
      <c r="GZ69" s="254"/>
      <c r="HA69" s="254"/>
      <c r="HB69" s="254"/>
      <c r="HC69" s="254"/>
    </row>
    <row r="70" spans="163:211" ht="15" customHeight="1" x14ac:dyDescent="0.25">
      <c r="FG70" s="254"/>
      <c r="FH70" s="254"/>
      <c r="FI70" s="254"/>
      <c r="FJ70" s="254"/>
      <c r="FK70" s="254"/>
      <c r="FL70" s="254"/>
      <c r="FM70" s="254"/>
      <c r="FN70" s="254"/>
      <c r="FO70" s="254"/>
      <c r="FP70" s="254"/>
      <c r="FQ70" s="254"/>
      <c r="FR70" s="254"/>
      <c r="FS70" s="254"/>
      <c r="FT70" s="254"/>
      <c r="FU70" s="254"/>
      <c r="FV70" s="254"/>
      <c r="FW70" s="254"/>
      <c r="FX70" s="254"/>
      <c r="FY70" s="254"/>
      <c r="FZ70" s="254"/>
      <c r="GA70" s="254"/>
      <c r="GB70" s="254"/>
      <c r="GC70" s="254"/>
      <c r="GD70" s="254"/>
      <c r="GE70" s="254"/>
      <c r="GF70" s="254"/>
      <c r="GG70" s="254"/>
      <c r="GH70" s="254"/>
      <c r="GI70" s="254"/>
      <c r="GJ70" s="254"/>
      <c r="GK70" s="254"/>
      <c r="GL70" s="254"/>
      <c r="GM70" s="254"/>
      <c r="GN70" s="254"/>
      <c r="GO70" s="254"/>
      <c r="GP70" s="254"/>
      <c r="GQ70" s="254"/>
      <c r="GR70" s="254"/>
      <c r="GS70" s="254"/>
      <c r="GT70" s="254"/>
      <c r="GU70" s="254"/>
      <c r="GV70" s="254"/>
      <c r="GW70" s="254"/>
      <c r="GX70" s="254"/>
      <c r="GY70" s="254"/>
      <c r="GZ70" s="254"/>
      <c r="HA70" s="254"/>
      <c r="HB70" s="254"/>
      <c r="HC70" s="254"/>
    </row>
    <row r="71" spans="163:211" ht="15" customHeight="1" x14ac:dyDescent="0.25">
      <c r="FG71" s="254"/>
      <c r="FH71" s="254"/>
      <c r="FI71" s="254"/>
      <c r="FJ71" s="254"/>
      <c r="FK71" s="254"/>
      <c r="FL71" s="254"/>
      <c r="FM71" s="254"/>
      <c r="FN71" s="254"/>
      <c r="FO71" s="254"/>
      <c r="FP71" s="254"/>
      <c r="FQ71" s="254"/>
      <c r="FR71" s="254"/>
      <c r="FS71" s="254"/>
      <c r="FT71" s="254"/>
      <c r="FU71" s="254"/>
      <c r="FV71" s="254"/>
      <c r="FW71" s="254"/>
      <c r="FX71" s="254"/>
      <c r="FY71" s="254"/>
      <c r="FZ71" s="254"/>
      <c r="GA71" s="254"/>
      <c r="GB71" s="254"/>
      <c r="GC71" s="254"/>
      <c r="GD71" s="254"/>
      <c r="GE71" s="254"/>
      <c r="GF71" s="254"/>
      <c r="GG71" s="254"/>
      <c r="GH71" s="254"/>
      <c r="GI71" s="254"/>
      <c r="GJ71" s="254"/>
      <c r="GK71" s="254"/>
      <c r="GL71" s="254"/>
      <c r="GM71" s="254"/>
      <c r="GN71" s="254"/>
      <c r="GO71" s="254"/>
      <c r="GP71" s="254"/>
      <c r="GQ71" s="254"/>
      <c r="GR71" s="254"/>
      <c r="GS71" s="254"/>
      <c r="GT71" s="254"/>
      <c r="GU71" s="254"/>
      <c r="GV71" s="254"/>
      <c r="GW71" s="254"/>
      <c r="GX71" s="254"/>
      <c r="GY71" s="254"/>
      <c r="GZ71" s="254"/>
      <c r="HA71" s="254"/>
      <c r="HB71" s="254"/>
      <c r="HC71" s="254"/>
    </row>
    <row r="72" spans="163:211" ht="15" customHeight="1" x14ac:dyDescent="0.25">
      <c r="FG72" s="254"/>
      <c r="FH72" s="254"/>
      <c r="FI72" s="254"/>
      <c r="FJ72" s="254"/>
      <c r="FK72" s="254"/>
      <c r="FL72" s="254"/>
      <c r="FM72" s="254"/>
      <c r="FN72" s="254"/>
      <c r="FO72" s="254"/>
      <c r="FP72" s="254"/>
      <c r="FQ72" s="254"/>
      <c r="FR72" s="254"/>
      <c r="FS72" s="254"/>
      <c r="FT72" s="254"/>
      <c r="FU72" s="254"/>
      <c r="FV72" s="254"/>
      <c r="FW72" s="254"/>
      <c r="FX72" s="254"/>
      <c r="FY72" s="254"/>
      <c r="FZ72" s="254"/>
      <c r="GA72" s="254"/>
      <c r="GB72" s="254"/>
      <c r="GC72" s="254"/>
      <c r="GD72" s="254"/>
      <c r="GE72" s="254"/>
      <c r="GF72" s="254"/>
      <c r="GG72" s="254"/>
      <c r="GH72" s="254"/>
      <c r="GI72" s="254"/>
      <c r="GJ72" s="254"/>
      <c r="GK72" s="254"/>
      <c r="GL72" s="254"/>
      <c r="GM72" s="254"/>
      <c r="GN72" s="254"/>
      <c r="GO72" s="254"/>
      <c r="GP72" s="254"/>
      <c r="GQ72" s="254"/>
      <c r="GR72" s="254"/>
      <c r="GS72" s="254"/>
      <c r="GT72" s="254"/>
      <c r="GU72" s="254"/>
      <c r="GV72" s="254"/>
      <c r="GW72" s="254"/>
      <c r="GX72" s="254"/>
      <c r="GY72" s="254"/>
      <c r="GZ72" s="254"/>
      <c r="HA72" s="254"/>
      <c r="HB72" s="254"/>
      <c r="HC72" s="254"/>
    </row>
    <row r="73" spans="163:211" ht="15" customHeight="1" x14ac:dyDescent="0.25">
      <c r="FG73" s="254"/>
      <c r="FH73" s="254"/>
      <c r="FI73" s="254"/>
      <c r="FJ73" s="254"/>
      <c r="FK73" s="254"/>
      <c r="FL73" s="254"/>
      <c r="FM73" s="254"/>
      <c r="FN73" s="254"/>
      <c r="FO73" s="254"/>
      <c r="FP73" s="254"/>
      <c r="FQ73" s="254"/>
      <c r="FR73" s="254"/>
      <c r="FS73" s="254"/>
      <c r="FT73" s="254"/>
      <c r="FU73" s="254"/>
      <c r="FV73" s="254"/>
      <c r="FW73" s="254"/>
      <c r="FX73" s="254"/>
      <c r="FY73" s="254"/>
      <c r="FZ73" s="254"/>
      <c r="GA73" s="254"/>
      <c r="GB73" s="254"/>
      <c r="GC73" s="254"/>
      <c r="GD73" s="254"/>
      <c r="GE73" s="254"/>
      <c r="GF73" s="254"/>
      <c r="GG73" s="254"/>
      <c r="GH73" s="254"/>
      <c r="GI73" s="254"/>
      <c r="GJ73" s="254"/>
      <c r="GK73" s="254"/>
      <c r="GL73" s="254"/>
      <c r="GM73" s="254"/>
      <c r="GN73" s="254"/>
      <c r="GO73" s="254"/>
      <c r="GP73" s="254"/>
      <c r="GQ73" s="254"/>
      <c r="GR73" s="254"/>
      <c r="GS73" s="254"/>
      <c r="GT73" s="254"/>
      <c r="GU73" s="254"/>
      <c r="GV73" s="254"/>
      <c r="GW73" s="254"/>
      <c r="GX73" s="254"/>
      <c r="GY73" s="254"/>
      <c r="GZ73" s="254"/>
      <c r="HA73" s="254"/>
      <c r="HB73" s="254"/>
      <c r="HC73" s="254"/>
    </row>
    <row r="74" spans="163:211" ht="15" customHeight="1" x14ac:dyDescent="0.25">
      <c r="FG74" s="254"/>
      <c r="FH74" s="254"/>
      <c r="FI74" s="254"/>
      <c r="FJ74" s="254"/>
      <c r="FK74" s="254"/>
      <c r="FL74" s="254"/>
      <c r="FM74" s="254"/>
      <c r="FN74" s="254"/>
      <c r="FO74" s="254"/>
      <c r="FP74" s="254"/>
      <c r="FQ74" s="254"/>
      <c r="FR74" s="254"/>
      <c r="FS74" s="254"/>
      <c r="FT74" s="254"/>
      <c r="FU74" s="254"/>
      <c r="FV74" s="254"/>
      <c r="FW74" s="254"/>
      <c r="FX74" s="254"/>
      <c r="FY74" s="254"/>
      <c r="FZ74" s="254"/>
      <c r="GA74" s="254"/>
      <c r="GB74" s="254"/>
      <c r="GC74" s="254"/>
      <c r="GD74" s="254"/>
      <c r="GE74" s="254"/>
      <c r="GF74" s="254"/>
      <c r="GG74" s="254"/>
      <c r="GH74" s="254"/>
      <c r="GI74" s="254"/>
      <c r="GJ74" s="254"/>
      <c r="GK74" s="254"/>
      <c r="GL74" s="254"/>
      <c r="GM74" s="254"/>
      <c r="GN74" s="254"/>
      <c r="GO74" s="254"/>
      <c r="GP74" s="254"/>
      <c r="GQ74" s="254"/>
      <c r="GR74" s="254"/>
      <c r="GS74" s="254"/>
      <c r="GT74" s="254"/>
      <c r="GU74" s="254"/>
      <c r="GV74" s="254"/>
      <c r="GW74" s="254"/>
      <c r="GX74" s="254"/>
      <c r="GY74" s="254"/>
      <c r="GZ74" s="254"/>
      <c r="HA74" s="254"/>
      <c r="HB74" s="254"/>
      <c r="HC74" s="254"/>
    </row>
    <row r="75" spans="163:211" ht="15" customHeight="1" x14ac:dyDescent="0.25">
      <c r="FG75" s="254"/>
      <c r="FH75" s="254"/>
      <c r="FI75" s="254"/>
      <c r="FJ75" s="254"/>
      <c r="FK75" s="254"/>
      <c r="FL75" s="254"/>
      <c r="FM75" s="254"/>
      <c r="FN75" s="254"/>
      <c r="FO75" s="254"/>
      <c r="FP75" s="254"/>
      <c r="FQ75" s="254"/>
      <c r="FR75" s="254"/>
      <c r="FS75" s="254"/>
      <c r="FT75" s="254"/>
      <c r="FU75" s="254"/>
      <c r="FV75" s="254"/>
      <c r="FW75" s="254"/>
      <c r="FX75" s="254"/>
      <c r="FY75" s="254"/>
      <c r="FZ75" s="254"/>
      <c r="GA75" s="254"/>
      <c r="GB75" s="254"/>
      <c r="GC75" s="254"/>
      <c r="GD75" s="254"/>
      <c r="GE75" s="254"/>
      <c r="GF75" s="254"/>
      <c r="GG75" s="254"/>
      <c r="GH75" s="254"/>
      <c r="GI75" s="254"/>
      <c r="GJ75" s="254"/>
      <c r="GK75" s="254"/>
      <c r="GL75" s="254"/>
      <c r="GM75" s="254"/>
      <c r="GN75" s="254"/>
      <c r="GO75" s="254"/>
      <c r="GP75" s="254"/>
      <c r="GQ75" s="254"/>
      <c r="GR75" s="254"/>
      <c r="GS75" s="254"/>
      <c r="GT75" s="254"/>
      <c r="GU75" s="254"/>
      <c r="GV75" s="254"/>
      <c r="GW75" s="254"/>
      <c r="GX75" s="254"/>
      <c r="GY75" s="254"/>
      <c r="GZ75" s="254"/>
      <c r="HA75" s="254"/>
      <c r="HB75" s="254"/>
      <c r="HC75" s="254"/>
    </row>
    <row r="76" spans="163:211" ht="15" customHeight="1" x14ac:dyDescent="0.25">
      <c r="FG76" s="254"/>
      <c r="FH76" s="254"/>
      <c r="FI76" s="254"/>
      <c r="FJ76" s="254"/>
      <c r="FK76" s="254"/>
      <c r="FL76" s="254"/>
      <c r="FM76" s="254"/>
      <c r="FN76" s="254"/>
      <c r="FO76" s="254"/>
      <c r="FP76" s="254"/>
      <c r="FQ76" s="254"/>
      <c r="FR76" s="254"/>
      <c r="FS76" s="254"/>
      <c r="FT76" s="254"/>
      <c r="FU76" s="254"/>
      <c r="FV76" s="254"/>
      <c r="FW76" s="254"/>
      <c r="FX76" s="254"/>
      <c r="FY76" s="254"/>
      <c r="FZ76" s="254"/>
      <c r="GA76" s="254"/>
      <c r="GB76" s="254"/>
      <c r="GC76" s="254"/>
      <c r="GD76" s="254"/>
      <c r="GE76" s="254"/>
      <c r="GF76" s="254"/>
      <c r="GG76" s="254"/>
      <c r="GH76" s="254"/>
      <c r="GI76" s="254"/>
      <c r="GJ76" s="254"/>
      <c r="GK76" s="254"/>
      <c r="GL76" s="254"/>
      <c r="GM76" s="254"/>
      <c r="GN76" s="254"/>
      <c r="GO76" s="254"/>
      <c r="GP76" s="254"/>
      <c r="GQ76" s="254"/>
      <c r="GR76" s="254"/>
      <c r="GS76" s="254"/>
      <c r="GT76" s="254"/>
      <c r="GU76" s="254"/>
      <c r="GV76" s="254"/>
      <c r="GW76" s="254"/>
      <c r="GX76" s="254"/>
      <c r="GY76" s="254"/>
      <c r="GZ76" s="254"/>
      <c r="HA76" s="254"/>
      <c r="HB76" s="254"/>
      <c r="HC76" s="254"/>
    </row>
    <row r="77" spans="163:211" ht="15" customHeight="1" x14ac:dyDescent="0.25">
      <c r="FG77" s="254"/>
      <c r="FH77" s="254"/>
      <c r="FI77" s="254"/>
      <c r="FJ77" s="254"/>
      <c r="FK77" s="254"/>
      <c r="FL77" s="254"/>
      <c r="FM77" s="254"/>
      <c r="FN77" s="254"/>
      <c r="FO77" s="254"/>
      <c r="FP77" s="254"/>
      <c r="FQ77" s="254"/>
      <c r="FR77" s="254"/>
      <c r="FS77" s="254"/>
      <c r="FT77" s="254"/>
      <c r="FU77" s="254"/>
      <c r="FV77" s="254"/>
      <c r="FW77" s="254"/>
      <c r="FX77" s="254"/>
      <c r="FY77" s="254"/>
      <c r="FZ77" s="254"/>
      <c r="GA77" s="254"/>
      <c r="GB77" s="254"/>
      <c r="GC77" s="254"/>
      <c r="GD77" s="254"/>
      <c r="GE77" s="254"/>
      <c r="GF77" s="254"/>
      <c r="GG77" s="254"/>
      <c r="GH77" s="254"/>
      <c r="GI77" s="254"/>
      <c r="GJ77" s="254"/>
      <c r="GK77" s="254"/>
      <c r="GL77" s="254"/>
      <c r="GM77" s="254"/>
      <c r="GN77" s="254"/>
      <c r="GO77" s="254"/>
      <c r="GP77" s="254"/>
      <c r="GQ77" s="254"/>
      <c r="GR77" s="254"/>
      <c r="GS77" s="254"/>
      <c r="GT77" s="254"/>
      <c r="GU77" s="254"/>
      <c r="GV77" s="254"/>
      <c r="GW77" s="254"/>
      <c r="GX77" s="254"/>
      <c r="GY77" s="254"/>
      <c r="GZ77" s="254"/>
      <c r="HA77" s="254"/>
      <c r="HB77" s="254"/>
      <c r="HC77" s="254"/>
    </row>
    <row r="78" spans="163:211" ht="15" customHeight="1" x14ac:dyDescent="0.25">
      <c r="FG78" s="254"/>
      <c r="FH78" s="254"/>
      <c r="FI78" s="254"/>
      <c r="FJ78" s="254"/>
      <c r="FK78" s="254"/>
      <c r="FL78" s="254"/>
      <c r="FM78" s="254"/>
      <c r="FN78" s="254"/>
      <c r="FO78" s="254"/>
      <c r="FP78" s="254"/>
      <c r="FQ78" s="254"/>
      <c r="FR78" s="254"/>
      <c r="FS78" s="254"/>
      <c r="FT78" s="254"/>
      <c r="FU78" s="254"/>
      <c r="FV78" s="254"/>
      <c r="FW78" s="254"/>
      <c r="FX78" s="254"/>
      <c r="FY78" s="254"/>
      <c r="FZ78" s="254"/>
      <c r="GA78" s="254"/>
      <c r="GB78" s="254"/>
      <c r="GC78" s="254"/>
      <c r="GD78" s="254"/>
      <c r="GE78" s="254"/>
      <c r="GF78" s="254"/>
      <c r="GG78" s="254"/>
      <c r="GH78" s="254"/>
      <c r="GI78" s="254"/>
      <c r="GJ78" s="254"/>
      <c r="GK78" s="254"/>
      <c r="GL78" s="254"/>
      <c r="GM78" s="254"/>
      <c r="GN78" s="254"/>
      <c r="GO78" s="254"/>
      <c r="GP78" s="254"/>
      <c r="GQ78" s="254"/>
      <c r="GR78" s="254"/>
      <c r="GS78" s="254"/>
      <c r="GT78" s="254"/>
      <c r="GU78" s="254"/>
      <c r="GV78" s="254"/>
      <c r="GW78" s="254"/>
      <c r="GX78" s="254"/>
      <c r="GY78" s="254"/>
      <c r="GZ78" s="254"/>
      <c r="HA78" s="254"/>
      <c r="HB78" s="254"/>
      <c r="HC78" s="254"/>
    </row>
    <row r="79" spans="163:211" ht="15" customHeight="1" x14ac:dyDescent="0.25">
      <c r="FG79" s="254"/>
      <c r="FH79" s="254"/>
      <c r="FI79" s="254"/>
      <c r="FJ79" s="254"/>
      <c r="FK79" s="254"/>
      <c r="FL79" s="254"/>
      <c r="FM79" s="254"/>
      <c r="FN79" s="254"/>
      <c r="FO79" s="254"/>
      <c r="FP79" s="254"/>
      <c r="FQ79" s="254"/>
      <c r="FR79" s="254"/>
      <c r="FS79" s="254"/>
      <c r="FT79" s="254"/>
      <c r="FU79" s="254"/>
      <c r="FV79" s="254"/>
      <c r="FW79" s="254"/>
      <c r="FX79" s="254"/>
      <c r="FY79" s="254"/>
      <c r="FZ79" s="254"/>
      <c r="GA79" s="254"/>
      <c r="GB79" s="254"/>
      <c r="GC79" s="254"/>
      <c r="GD79" s="254"/>
      <c r="GE79" s="254"/>
      <c r="GF79" s="254"/>
      <c r="GG79" s="254"/>
      <c r="GH79" s="254"/>
      <c r="GI79" s="254"/>
      <c r="GJ79" s="254"/>
      <c r="GK79" s="254"/>
      <c r="GL79" s="254"/>
      <c r="GM79" s="254"/>
      <c r="GN79" s="254"/>
      <c r="GO79" s="254"/>
      <c r="GP79" s="254"/>
      <c r="GQ79" s="254"/>
      <c r="GR79" s="254"/>
      <c r="GS79" s="254"/>
      <c r="GT79" s="254"/>
      <c r="GU79" s="254"/>
      <c r="GV79" s="254"/>
      <c r="GW79" s="254"/>
      <c r="GX79" s="254"/>
      <c r="GY79" s="254"/>
      <c r="GZ79" s="254"/>
      <c r="HA79" s="254"/>
      <c r="HB79" s="254"/>
      <c r="HC79" s="254"/>
    </row>
    <row r="80" spans="163:211" ht="15" customHeight="1" x14ac:dyDescent="0.25">
      <c r="FG80" s="254"/>
      <c r="FH80" s="254"/>
      <c r="FI80" s="254"/>
      <c r="FJ80" s="254"/>
      <c r="FK80" s="254"/>
      <c r="FL80" s="254"/>
      <c r="FM80" s="254"/>
      <c r="FN80" s="254"/>
      <c r="FO80" s="254"/>
      <c r="FP80" s="254"/>
      <c r="FQ80" s="254"/>
      <c r="FR80" s="254"/>
      <c r="FS80" s="254"/>
      <c r="FT80" s="254"/>
      <c r="FU80" s="254"/>
      <c r="FV80" s="254"/>
      <c r="FW80" s="254"/>
      <c r="FX80" s="254"/>
      <c r="FY80" s="254"/>
      <c r="FZ80" s="254"/>
      <c r="GA80" s="254"/>
      <c r="GB80" s="254"/>
      <c r="GC80" s="254"/>
      <c r="GD80" s="254"/>
      <c r="GE80" s="254"/>
      <c r="GF80" s="254"/>
      <c r="GG80" s="254"/>
      <c r="GH80" s="254"/>
      <c r="GI80" s="254"/>
      <c r="GJ80" s="254"/>
      <c r="GK80" s="254"/>
      <c r="GL80" s="254"/>
      <c r="GM80" s="254"/>
      <c r="GN80" s="254"/>
      <c r="GO80" s="254"/>
      <c r="GP80" s="254"/>
      <c r="GQ80" s="254"/>
      <c r="GR80" s="254"/>
      <c r="GS80" s="254"/>
      <c r="GT80" s="254"/>
      <c r="GU80" s="254"/>
      <c r="GV80" s="254"/>
      <c r="GW80" s="254"/>
      <c r="GX80" s="254"/>
      <c r="GY80" s="254"/>
      <c r="GZ80" s="254"/>
      <c r="HA80" s="254"/>
      <c r="HB80" s="254"/>
      <c r="HC80" s="254"/>
    </row>
    <row r="81" spans="163:211" ht="15" customHeight="1" x14ac:dyDescent="0.25">
      <c r="FG81" s="254"/>
      <c r="FH81" s="254"/>
      <c r="FI81" s="254"/>
      <c r="FJ81" s="254"/>
      <c r="FK81" s="254"/>
      <c r="FL81" s="254"/>
      <c r="FM81" s="254"/>
      <c r="FN81" s="254"/>
      <c r="FO81" s="254"/>
      <c r="FP81" s="254"/>
      <c r="FQ81" s="254"/>
      <c r="FR81" s="254"/>
      <c r="FS81" s="254"/>
      <c r="FT81" s="254"/>
      <c r="FU81" s="254"/>
      <c r="FV81" s="254"/>
      <c r="FW81" s="254"/>
      <c r="FX81" s="254"/>
      <c r="FY81" s="254"/>
      <c r="FZ81" s="254"/>
      <c r="GA81" s="254"/>
      <c r="GB81" s="254"/>
      <c r="GC81" s="254"/>
      <c r="GD81" s="254"/>
      <c r="GE81" s="254"/>
      <c r="GF81" s="254"/>
      <c r="GG81" s="254"/>
      <c r="GH81" s="254"/>
      <c r="GI81" s="254"/>
      <c r="GJ81" s="254"/>
      <c r="GK81" s="254"/>
      <c r="GL81" s="254"/>
      <c r="GM81" s="254"/>
      <c r="GN81" s="254"/>
      <c r="GO81" s="254"/>
      <c r="GP81" s="254"/>
      <c r="GQ81" s="254"/>
      <c r="GR81" s="254"/>
      <c r="GS81" s="254"/>
      <c r="GT81" s="254"/>
      <c r="GU81" s="254"/>
      <c r="GV81" s="254"/>
      <c r="GW81" s="254"/>
      <c r="GX81" s="254"/>
      <c r="GY81" s="254"/>
      <c r="GZ81" s="254"/>
      <c r="HA81" s="254"/>
      <c r="HB81" s="254"/>
      <c r="HC81" s="254"/>
    </row>
    <row r="82" spans="163:211" ht="15" customHeight="1" x14ac:dyDescent="0.25">
      <c r="FG82" s="254"/>
      <c r="FH82" s="254"/>
      <c r="FI82" s="254"/>
      <c r="FJ82" s="254"/>
      <c r="FK82" s="254"/>
      <c r="FL82" s="254"/>
      <c r="FM82" s="254"/>
      <c r="FN82" s="254"/>
      <c r="FO82" s="254"/>
      <c r="FP82" s="254"/>
      <c r="FQ82" s="254"/>
      <c r="FR82" s="254"/>
      <c r="FS82" s="254"/>
      <c r="FT82" s="254"/>
      <c r="FU82" s="254"/>
      <c r="FV82" s="254"/>
      <c r="FW82" s="254"/>
      <c r="FX82" s="254"/>
      <c r="FY82" s="254"/>
      <c r="FZ82" s="254"/>
      <c r="GA82" s="254"/>
      <c r="GB82" s="254"/>
      <c r="GC82" s="254"/>
      <c r="GD82" s="254"/>
      <c r="GE82" s="254"/>
      <c r="GF82" s="254"/>
      <c r="GG82" s="254"/>
      <c r="GH82" s="254"/>
      <c r="GI82" s="254"/>
      <c r="GJ82" s="254"/>
      <c r="GK82" s="254"/>
      <c r="GL82" s="254"/>
      <c r="GM82" s="254"/>
      <c r="GN82" s="254"/>
      <c r="GO82" s="254"/>
      <c r="GP82" s="254"/>
      <c r="GQ82" s="254"/>
      <c r="GR82" s="254"/>
      <c r="GS82" s="254"/>
      <c r="GT82" s="254"/>
      <c r="GU82" s="254"/>
      <c r="GV82" s="254"/>
      <c r="GW82" s="254"/>
      <c r="GX82" s="254"/>
      <c r="GY82" s="254"/>
      <c r="GZ82" s="254"/>
      <c r="HA82" s="254"/>
      <c r="HB82" s="254"/>
      <c r="HC82" s="254"/>
    </row>
    <row r="83" spans="163:211" ht="15" customHeight="1" x14ac:dyDescent="0.25">
      <c r="FG83" s="254"/>
      <c r="FH83" s="254"/>
      <c r="FI83" s="254"/>
      <c r="FJ83" s="254"/>
      <c r="FK83" s="254"/>
      <c r="FL83" s="254"/>
      <c r="FM83" s="254"/>
      <c r="FN83" s="254"/>
      <c r="FO83" s="254"/>
      <c r="FP83" s="254"/>
      <c r="FQ83" s="254"/>
      <c r="FR83" s="254"/>
      <c r="FS83" s="254"/>
      <c r="FT83" s="254"/>
      <c r="FU83" s="254"/>
      <c r="FV83" s="254"/>
      <c r="FW83" s="254"/>
      <c r="FX83" s="254"/>
      <c r="FY83" s="254"/>
      <c r="FZ83" s="254"/>
      <c r="GA83" s="254"/>
      <c r="GB83" s="254"/>
      <c r="GC83" s="254"/>
      <c r="GD83" s="254"/>
      <c r="GE83" s="254"/>
      <c r="GF83" s="254"/>
      <c r="GG83" s="254"/>
      <c r="GH83" s="254"/>
      <c r="GI83" s="254"/>
      <c r="GJ83" s="254"/>
      <c r="GK83" s="254"/>
      <c r="GL83" s="254"/>
      <c r="GM83" s="254"/>
      <c r="GN83" s="254"/>
      <c r="GO83" s="254"/>
      <c r="GP83" s="254"/>
      <c r="GQ83" s="254"/>
      <c r="GR83" s="254"/>
      <c r="GS83" s="254"/>
      <c r="GT83" s="254"/>
      <c r="GU83" s="254"/>
      <c r="GV83" s="254"/>
      <c r="GW83" s="254"/>
      <c r="GX83" s="254"/>
      <c r="GY83" s="254"/>
      <c r="GZ83" s="254"/>
      <c r="HA83" s="254"/>
      <c r="HB83" s="254"/>
      <c r="HC83" s="254"/>
    </row>
    <row r="84" spans="163:211" ht="15" customHeight="1" x14ac:dyDescent="0.25">
      <c r="FG84" s="254"/>
      <c r="FH84" s="254"/>
      <c r="FI84" s="254"/>
      <c r="FJ84" s="254"/>
      <c r="FK84" s="254"/>
      <c r="FL84" s="254"/>
      <c r="FM84" s="254"/>
      <c r="FN84" s="254"/>
      <c r="FO84" s="254"/>
      <c r="FP84" s="254"/>
      <c r="FQ84" s="254"/>
      <c r="FR84" s="254"/>
      <c r="FS84" s="254"/>
      <c r="FT84" s="254"/>
      <c r="FU84" s="254"/>
      <c r="FV84" s="254"/>
      <c r="FW84" s="254"/>
      <c r="FX84" s="254"/>
      <c r="FY84" s="254"/>
      <c r="FZ84" s="254"/>
      <c r="GA84" s="254"/>
      <c r="GB84" s="254"/>
      <c r="GC84" s="254"/>
      <c r="GD84" s="254"/>
      <c r="GE84" s="254"/>
      <c r="GF84" s="254"/>
      <c r="GG84" s="254"/>
      <c r="GH84" s="254"/>
      <c r="GI84" s="254"/>
      <c r="GJ84" s="254"/>
      <c r="GK84" s="254"/>
      <c r="GL84" s="254"/>
      <c r="GM84" s="254"/>
      <c r="GN84" s="254"/>
      <c r="GO84" s="254"/>
      <c r="GP84" s="254"/>
      <c r="GQ84" s="254"/>
      <c r="GR84" s="254"/>
      <c r="GS84" s="254"/>
      <c r="GT84" s="254"/>
      <c r="GU84" s="254"/>
      <c r="GV84" s="254"/>
      <c r="GW84" s="254"/>
      <c r="GX84" s="254"/>
      <c r="GY84" s="254"/>
      <c r="GZ84" s="254"/>
      <c r="HA84" s="254"/>
      <c r="HB84" s="254"/>
      <c r="HC84" s="254"/>
    </row>
    <row r="85" spans="163:211" ht="15" customHeight="1" x14ac:dyDescent="0.25">
      <c r="FG85" s="254"/>
      <c r="FH85" s="254"/>
      <c r="FI85" s="254"/>
      <c r="FJ85" s="254"/>
      <c r="FK85" s="254"/>
      <c r="FL85" s="254"/>
      <c r="FM85" s="254"/>
      <c r="FN85" s="254"/>
      <c r="FO85" s="254"/>
      <c r="FP85" s="254"/>
      <c r="FQ85" s="254"/>
      <c r="FR85" s="254"/>
      <c r="FS85" s="254"/>
      <c r="FT85" s="254"/>
      <c r="FU85" s="254"/>
      <c r="FV85" s="254"/>
      <c r="FW85" s="254"/>
      <c r="FX85" s="254"/>
      <c r="FY85" s="254"/>
      <c r="FZ85" s="254"/>
      <c r="GA85" s="254"/>
      <c r="GB85" s="254"/>
      <c r="GC85" s="254"/>
      <c r="GD85" s="254"/>
      <c r="GE85" s="254"/>
      <c r="GF85" s="254"/>
      <c r="GG85" s="254"/>
      <c r="GH85" s="254"/>
      <c r="GI85" s="254"/>
      <c r="GJ85" s="254"/>
      <c r="GK85" s="254"/>
      <c r="GL85" s="254"/>
      <c r="GM85" s="254"/>
      <c r="GN85" s="254"/>
      <c r="GO85" s="254"/>
      <c r="GP85" s="254"/>
      <c r="GQ85" s="254"/>
      <c r="GR85" s="254"/>
      <c r="GS85" s="254"/>
      <c r="GT85" s="254"/>
      <c r="GU85" s="254"/>
      <c r="GV85" s="254"/>
      <c r="GW85" s="254"/>
      <c r="GX85" s="254"/>
      <c r="GY85" s="254"/>
      <c r="GZ85" s="254"/>
      <c r="HA85" s="254"/>
      <c r="HB85" s="254"/>
      <c r="HC85" s="254"/>
    </row>
    <row r="86" spans="163:211" ht="15" customHeight="1" x14ac:dyDescent="0.25">
      <c r="FG86" s="254"/>
      <c r="FH86" s="254"/>
      <c r="FI86" s="254"/>
      <c r="FJ86" s="254"/>
      <c r="FK86" s="254"/>
      <c r="FL86" s="254"/>
      <c r="FM86" s="254"/>
      <c r="FN86" s="254"/>
      <c r="FO86" s="254"/>
      <c r="FP86" s="254"/>
      <c r="FQ86" s="254"/>
      <c r="FR86" s="254"/>
      <c r="FS86" s="254"/>
      <c r="FT86" s="254"/>
      <c r="FU86" s="254"/>
      <c r="FV86" s="254"/>
      <c r="FW86" s="254"/>
      <c r="FX86" s="254"/>
      <c r="FY86" s="254"/>
      <c r="FZ86" s="254"/>
      <c r="GA86" s="254"/>
      <c r="GB86" s="254"/>
      <c r="GC86" s="254"/>
      <c r="GD86" s="254"/>
      <c r="GE86" s="254"/>
      <c r="GF86" s="254"/>
      <c r="GG86" s="254"/>
      <c r="GH86" s="254"/>
      <c r="GI86" s="254"/>
      <c r="GJ86" s="254"/>
      <c r="GK86" s="254"/>
      <c r="GL86" s="254"/>
      <c r="GM86" s="254"/>
      <c r="GN86" s="254"/>
      <c r="GO86" s="254"/>
      <c r="GP86" s="254"/>
      <c r="GQ86" s="254"/>
      <c r="GR86" s="254"/>
      <c r="GS86" s="254"/>
      <c r="GT86" s="254"/>
      <c r="GU86" s="254"/>
      <c r="GV86" s="254"/>
      <c r="GW86" s="254"/>
      <c r="GX86" s="254"/>
      <c r="GY86" s="254"/>
      <c r="GZ86" s="254"/>
      <c r="HA86" s="254"/>
      <c r="HB86" s="254"/>
      <c r="HC86" s="254"/>
    </row>
    <row r="87" spans="163:211" ht="15" customHeight="1" x14ac:dyDescent="0.25">
      <c r="FG87" s="254"/>
      <c r="FH87" s="254"/>
      <c r="FI87" s="254"/>
      <c r="FJ87" s="254"/>
      <c r="FK87" s="254"/>
      <c r="FL87" s="254"/>
      <c r="FM87" s="254"/>
      <c r="FN87" s="254"/>
      <c r="FO87" s="254"/>
      <c r="FP87" s="254"/>
      <c r="FQ87" s="254"/>
      <c r="FR87" s="254"/>
      <c r="FS87" s="254"/>
      <c r="FT87" s="254"/>
      <c r="FU87" s="254"/>
      <c r="FV87" s="254"/>
      <c r="FW87" s="254"/>
      <c r="FX87" s="254"/>
      <c r="FY87" s="254"/>
      <c r="FZ87" s="254"/>
      <c r="GA87" s="254"/>
      <c r="GB87" s="254"/>
      <c r="GC87" s="254"/>
      <c r="GD87" s="254"/>
      <c r="GE87" s="254"/>
      <c r="GF87" s="254"/>
      <c r="GG87" s="254"/>
      <c r="GH87" s="254"/>
      <c r="GI87" s="254"/>
      <c r="GJ87" s="254"/>
      <c r="GK87" s="254"/>
      <c r="GL87" s="254"/>
      <c r="GM87" s="254"/>
      <c r="GN87" s="254"/>
      <c r="GO87" s="254"/>
      <c r="GP87" s="254"/>
      <c r="GQ87" s="254"/>
      <c r="GR87" s="254"/>
      <c r="GS87" s="254"/>
      <c r="GT87" s="254"/>
      <c r="GU87" s="254"/>
      <c r="GV87" s="254"/>
      <c r="GW87" s="254"/>
      <c r="GX87" s="254"/>
      <c r="GY87" s="254"/>
      <c r="GZ87" s="254"/>
      <c r="HA87" s="254"/>
      <c r="HB87" s="254"/>
      <c r="HC87" s="254"/>
    </row>
    <row r="88" spans="163:211" ht="15" customHeight="1" x14ac:dyDescent="0.25">
      <c r="FG88" s="254"/>
      <c r="FH88" s="254"/>
      <c r="FI88" s="254"/>
      <c r="FJ88" s="254"/>
      <c r="FK88" s="254"/>
      <c r="FL88" s="254"/>
      <c r="FM88" s="254"/>
      <c r="FN88" s="254"/>
      <c r="FO88" s="254"/>
      <c r="FP88" s="254"/>
      <c r="FQ88" s="254"/>
      <c r="FR88" s="254"/>
      <c r="FS88" s="254"/>
      <c r="FT88" s="254"/>
      <c r="FU88" s="254"/>
      <c r="FV88" s="254"/>
      <c r="FW88" s="254"/>
      <c r="FX88" s="254"/>
      <c r="FY88" s="254"/>
      <c r="FZ88" s="254"/>
      <c r="GA88" s="254"/>
      <c r="GB88" s="254"/>
      <c r="GC88" s="254"/>
      <c r="GD88" s="254"/>
      <c r="GE88" s="254"/>
      <c r="GF88" s="254"/>
      <c r="GG88" s="254"/>
      <c r="GH88" s="254"/>
      <c r="GI88" s="254"/>
      <c r="GJ88" s="254"/>
      <c r="GK88" s="254"/>
      <c r="GL88" s="254"/>
      <c r="GM88" s="254"/>
      <c r="GN88" s="254"/>
      <c r="GO88" s="254"/>
      <c r="GP88" s="254"/>
      <c r="GQ88" s="254"/>
      <c r="GR88" s="254"/>
      <c r="GS88" s="254"/>
      <c r="GT88" s="254"/>
      <c r="GU88" s="254"/>
      <c r="GV88" s="254"/>
      <c r="GW88" s="254"/>
      <c r="GX88" s="254"/>
      <c r="GY88" s="254"/>
      <c r="GZ88" s="254"/>
      <c r="HA88" s="254"/>
      <c r="HB88" s="254"/>
      <c r="HC88" s="254"/>
    </row>
    <row r="89" spans="163:211" ht="15" customHeight="1" x14ac:dyDescent="0.25">
      <c r="FG89" s="254"/>
      <c r="FH89" s="254"/>
      <c r="FI89" s="254"/>
      <c r="FJ89" s="254"/>
      <c r="FK89" s="254"/>
      <c r="FL89" s="254"/>
      <c r="FM89" s="254"/>
      <c r="FN89" s="254"/>
      <c r="FO89" s="254"/>
      <c r="FP89" s="254"/>
      <c r="FQ89" s="254"/>
      <c r="FR89" s="254"/>
      <c r="FS89" s="254"/>
      <c r="FT89" s="254"/>
      <c r="FU89" s="254"/>
      <c r="FV89" s="254"/>
      <c r="FW89" s="254"/>
      <c r="FX89" s="254"/>
      <c r="FY89" s="254"/>
      <c r="FZ89" s="254"/>
      <c r="GA89" s="254"/>
      <c r="GB89" s="254"/>
      <c r="GC89" s="254"/>
      <c r="GD89" s="254"/>
      <c r="GE89" s="254"/>
      <c r="GF89" s="254"/>
      <c r="GG89" s="254"/>
      <c r="GH89" s="254"/>
      <c r="GI89" s="254"/>
      <c r="GJ89" s="254"/>
      <c r="GK89" s="254"/>
      <c r="GL89" s="254"/>
      <c r="GM89" s="254"/>
      <c r="GN89" s="254"/>
      <c r="GO89" s="254"/>
      <c r="GP89" s="254"/>
      <c r="GQ89" s="254"/>
      <c r="GR89" s="254"/>
      <c r="GS89" s="254"/>
      <c r="GT89" s="254"/>
      <c r="GU89" s="254"/>
      <c r="GV89" s="254"/>
      <c r="GW89" s="254"/>
      <c r="GX89" s="254"/>
      <c r="GY89" s="254"/>
      <c r="GZ89" s="254"/>
      <c r="HA89" s="254"/>
      <c r="HB89" s="254"/>
      <c r="HC89" s="254"/>
    </row>
    <row r="90" spans="163:211" ht="15" customHeight="1" x14ac:dyDescent="0.25">
      <c r="FG90" s="254"/>
      <c r="FH90" s="254"/>
      <c r="FI90" s="254"/>
      <c r="FJ90" s="254"/>
      <c r="FK90" s="254"/>
      <c r="FL90" s="254"/>
      <c r="FM90" s="254"/>
      <c r="FN90" s="254"/>
      <c r="FO90" s="254"/>
      <c r="FP90" s="254"/>
      <c r="FQ90" s="254"/>
      <c r="FR90" s="254"/>
      <c r="FS90" s="254"/>
      <c r="FT90" s="254"/>
      <c r="FU90" s="254"/>
      <c r="FV90" s="254"/>
      <c r="FW90" s="254"/>
      <c r="FX90" s="254"/>
      <c r="FY90" s="254"/>
      <c r="FZ90" s="254"/>
      <c r="GA90" s="254"/>
      <c r="GB90" s="254"/>
      <c r="GC90" s="254"/>
      <c r="GD90" s="254"/>
      <c r="GE90" s="254"/>
      <c r="GF90" s="254"/>
      <c r="GG90" s="254"/>
      <c r="GH90" s="254"/>
      <c r="GI90" s="254"/>
      <c r="GJ90" s="254"/>
      <c r="GK90" s="254"/>
      <c r="GL90" s="254"/>
      <c r="GM90" s="254"/>
      <c r="GN90" s="254"/>
      <c r="GO90" s="254"/>
      <c r="GP90" s="254"/>
      <c r="GQ90" s="254"/>
      <c r="GR90" s="254"/>
      <c r="GS90" s="254"/>
      <c r="GT90" s="254"/>
      <c r="GU90" s="254"/>
      <c r="GV90" s="254"/>
      <c r="GW90" s="254"/>
      <c r="GX90" s="254"/>
      <c r="GY90" s="254"/>
      <c r="GZ90" s="254"/>
      <c r="HA90" s="254"/>
      <c r="HB90" s="254"/>
      <c r="HC90" s="254"/>
    </row>
    <row r="91" spans="163:211" ht="15" customHeight="1" x14ac:dyDescent="0.25">
      <c r="FG91" s="254"/>
      <c r="FH91" s="254"/>
      <c r="FI91" s="254"/>
      <c r="FJ91" s="254"/>
      <c r="FK91" s="254"/>
      <c r="FL91" s="254"/>
      <c r="FM91" s="254"/>
      <c r="FN91" s="254"/>
      <c r="FO91" s="254"/>
      <c r="FP91" s="254"/>
      <c r="FQ91" s="254"/>
      <c r="FR91" s="254"/>
      <c r="FS91" s="254"/>
      <c r="FT91" s="254"/>
      <c r="FU91" s="254"/>
      <c r="FV91" s="254"/>
      <c r="FW91" s="254"/>
      <c r="FX91" s="254"/>
      <c r="FY91" s="254"/>
      <c r="FZ91" s="254"/>
      <c r="GA91" s="254"/>
      <c r="GB91" s="254"/>
      <c r="GC91" s="254"/>
      <c r="GD91" s="254"/>
      <c r="GE91" s="254"/>
      <c r="GF91" s="254"/>
      <c r="GG91" s="254"/>
      <c r="GH91" s="254"/>
      <c r="GI91" s="254"/>
      <c r="GJ91" s="254"/>
      <c r="GK91" s="254"/>
      <c r="GL91" s="254"/>
      <c r="GM91" s="254"/>
      <c r="GN91" s="254"/>
      <c r="GO91" s="254"/>
      <c r="GP91" s="254"/>
      <c r="GQ91" s="254"/>
      <c r="GR91" s="254"/>
      <c r="GS91" s="254"/>
      <c r="GT91" s="254"/>
      <c r="GU91" s="254"/>
      <c r="GV91" s="254"/>
      <c r="GW91" s="254"/>
      <c r="GX91" s="254"/>
      <c r="GY91" s="254"/>
      <c r="GZ91" s="254"/>
      <c r="HA91" s="254"/>
      <c r="HB91" s="254"/>
      <c r="HC91" s="254"/>
    </row>
    <row r="92" spans="163:211" ht="15" customHeight="1" x14ac:dyDescent="0.25">
      <c r="FG92" s="254"/>
      <c r="FH92" s="254"/>
      <c r="FI92" s="254"/>
      <c r="FJ92" s="254"/>
      <c r="FK92" s="254"/>
      <c r="FL92" s="254"/>
      <c r="FM92" s="254"/>
      <c r="FN92" s="254"/>
      <c r="FO92" s="254"/>
      <c r="FP92" s="254"/>
      <c r="FQ92" s="254"/>
      <c r="FR92" s="254"/>
      <c r="FS92" s="254"/>
      <c r="FT92" s="254"/>
      <c r="FU92" s="254"/>
      <c r="FV92" s="254"/>
      <c r="FW92" s="254"/>
      <c r="FX92" s="254"/>
      <c r="FY92" s="254"/>
      <c r="FZ92" s="254"/>
      <c r="GA92" s="254"/>
      <c r="GB92" s="254"/>
      <c r="GC92" s="254"/>
      <c r="GD92" s="254"/>
      <c r="GE92" s="254"/>
      <c r="GF92" s="254"/>
      <c r="GG92" s="254"/>
      <c r="GH92" s="254"/>
      <c r="GI92" s="254"/>
      <c r="GJ92" s="254"/>
      <c r="GK92" s="254"/>
      <c r="GL92" s="254"/>
      <c r="GM92" s="254"/>
      <c r="GN92" s="254"/>
      <c r="GO92" s="254"/>
      <c r="GP92" s="254"/>
      <c r="GQ92" s="254"/>
      <c r="GR92" s="254"/>
      <c r="GS92" s="254"/>
      <c r="GT92" s="254"/>
      <c r="GU92" s="254"/>
      <c r="GV92" s="254"/>
      <c r="GW92" s="254"/>
      <c r="GX92" s="254"/>
      <c r="GY92" s="254"/>
      <c r="GZ92" s="254"/>
      <c r="HA92" s="254"/>
      <c r="HB92" s="254"/>
      <c r="HC92" s="254"/>
    </row>
    <row r="93" spans="163:211" ht="15" customHeight="1" x14ac:dyDescent="0.25">
      <c r="FG93" s="254"/>
      <c r="FH93" s="254"/>
      <c r="FI93" s="254"/>
      <c r="FJ93" s="254"/>
      <c r="FK93" s="254"/>
      <c r="FL93" s="254"/>
      <c r="FM93" s="254"/>
      <c r="FN93" s="254"/>
      <c r="FO93" s="254"/>
      <c r="FP93" s="254"/>
      <c r="FQ93" s="254"/>
      <c r="FR93" s="254"/>
      <c r="FS93" s="254"/>
      <c r="FT93" s="254"/>
      <c r="FU93" s="254"/>
      <c r="FV93" s="254"/>
      <c r="FW93" s="254"/>
      <c r="FX93" s="254"/>
      <c r="FY93" s="254"/>
      <c r="FZ93" s="254"/>
      <c r="GA93" s="254"/>
      <c r="GB93" s="254"/>
      <c r="GC93" s="254"/>
      <c r="GD93" s="254"/>
      <c r="GE93" s="254"/>
      <c r="GF93" s="254"/>
      <c r="GG93" s="254"/>
      <c r="GH93" s="254"/>
      <c r="GI93" s="254"/>
      <c r="GJ93" s="254"/>
      <c r="GK93" s="254"/>
      <c r="GL93" s="254"/>
      <c r="GM93" s="254"/>
      <c r="GN93" s="254"/>
      <c r="GO93" s="254"/>
      <c r="GP93" s="254"/>
      <c r="GQ93" s="254"/>
      <c r="GR93" s="254"/>
      <c r="GS93" s="254"/>
      <c r="GT93" s="254"/>
      <c r="GU93" s="254"/>
      <c r="GV93" s="254"/>
      <c r="GW93" s="254"/>
      <c r="GX93" s="254"/>
      <c r="GY93" s="254"/>
      <c r="GZ93" s="254"/>
      <c r="HA93" s="254"/>
      <c r="HB93" s="254"/>
      <c r="HC93" s="254"/>
    </row>
    <row r="94" spans="163:211" ht="15" customHeight="1" x14ac:dyDescent="0.25">
      <c r="FG94" s="254"/>
      <c r="FH94" s="254"/>
      <c r="FI94" s="254"/>
      <c r="FJ94" s="254"/>
      <c r="FK94" s="254"/>
      <c r="FL94" s="254"/>
      <c r="FM94" s="254"/>
      <c r="FN94" s="254"/>
      <c r="FO94" s="254"/>
      <c r="FP94" s="254"/>
      <c r="FQ94" s="254"/>
      <c r="FR94" s="254"/>
      <c r="FS94" s="254"/>
      <c r="FT94" s="254"/>
      <c r="FU94" s="254"/>
      <c r="FV94" s="254"/>
      <c r="FW94" s="254"/>
      <c r="FX94" s="254"/>
      <c r="FY94" s="254"/>
      <c r="FZ94" s="254"/>
      <c r="GA94" s="254"/>
      <c r="GB94" s="254"/>
      <c r="GC94" s="254"/>
      <c r="GD94" s="254"/>
      <c r="GE94" s="254"/>
      <c r="GF94" s="254"/>
      <c r="GG94" s="254"/>
      <c r="GH94" s="254"/>
      <c r="GI94" s="254"/>
      <c r="GJ94" s="254"/>
      <c r="GK94" s="254"/>
      <c r="GL94" s="254"/>
      <c r="GM94" s="254"/>
      <c r="GN94" s="254"/>
      <c r="GO94" s="254"/>
      <c r="GP94" s="254"/>
      <c r="GQ94" s="254"/>
      <c r="GR94" s="254"/>
      <c r="GS94" s="254"/>
      <c r="GT94" s="254"/>
      <c r="GU94" s="254"/>
      <c r="GV94" s="254"/>
      <c r="GW94" s="254"/>
      <c r="GX94" s="254"/>
      <c r="GY94" s="254"/>
      <c r="GZ94" s="254"/>
      <c r="HA94" s="254"/>
      <c r="HB94" s="254"/>
      <c r="HC94" s="254"/>
    </row>
    <row r="95" spans="163:211" ht="15" customHeight="1" x14ac:dyDescent="0.25">
      <c r="FG95" s="254"/>
      <c r="FH95" s="254"/>
      <c r="FI95" s="254"/>
      <c r="FJ95" s="254"/>
      <c r="FK95" s="254"/>
      <c r="FL95" s="254"/>
      <c r="FM95" s="254"/>
      <c r="FN95" s="254"/>
      <c r="FO95" s="254"/>
      <c r="FP95" s="254"/>
      <c r="FQ95" s="254"/>
      <c r="FR95" s="254"/>
      <c r="FS95" s="254"/>
      <c r="FT95" s="254"/>
      <c r="FU95" s="254"/>
      <c r="FV95" s="254"/>
      <c r="FW95" s="254"/>
      <c r="FX95" s="254"/>
      <c r="FY95" s="254"/>
      <c r="FZ95" s="254"/>
      <c r="GA95" s="254"/>
      <c r="GB95" s="254"/>
      <c r="GC95" s="254"/>
      <c r="GD95" s="254"/>
      <c r="GE95" s="254"/>
      <c r="GF95" s="254"/>
      <c r="GG95" s="254"/>
      <c r="GH95" s="254"/>
      <c r="GI95" s="254"/>
      <c r="GJ95" s="254"/>
      <c r="GK95" s="254"/>
      <c r="GL95" s="254"/>
      <c r="GM95" s="254"/>
      <c r="GN95" s="254"/>
      <c r="GO95" s="254"/>
      <c r="GP95" s="254"/>
      <c r="GQ95" s="254"/>
      <c r="GR95" s="254"/>
      <c r="GS95" s="254"/>
      <c r="GT95" s="254"/>
      <c r="GU95" s="254"/>
      <c r="GV95" s="254"/>
      <c r="GW95" s="254"/>
      <c r="GX95" s="254"/>
      <c r="GY95" s="254"/>
      <c r="GZ95" s="254"/>
      <c r="HA95" s="254"/>
      <c r="HB95" s="254"/>
      <c r="HC95" s="254"/>
    </row>
    <row r="96" spans="163:211" ht="15" customHeight="1" x14ac:dyDescent="0.25">
      <c r="FG96" s="254"/>
      <c r="FH96" s="254"/>
      <c r="FI96" s="254"/>
      <c r="FJ96" s="254"/>
      <c r="FK96" s="254"/>
      <c r="FL96" s="254"/>
      <c r="FM96" s="254"/>
      <c r="FN96" s="254"/>
      <c r="FO96" s="254"/>
      <c r="FP96" s="254"/>
      <c r="FQ96" s="254"/>
      <c r="FR96" s="254"/>
      <c r="FS96" s="254"/>
      <c r="FT96" s="254"/>
      <c r="FU96" s="254"/>
      <c r="FV96" s="254"/>
      <c r="FW96" s="254"/>
      <c r="FX96" s="254"/>
      <c r="FY96" s="254"/>
      <c r="FZ96" s="254"/>
      <c r="GA96" s="254"/>
      <c r="GB96" s="254"/>
      <c r="GC96" s="254"/>
      <c r="GD96" s="254"/>
      <c r="GE96" s="254"/>
      <c r="GF96" s="254"/>
      <c r="GG96" s="254"/>
      <c r="GH96" s="254"/>
      <c r="GI96" s="254"/>
      <c r="GJ96" s="254"/>
      <c r="GK96" s="254"/>
      <c r="GL96" s="254"/>
      <c r="GM96" s="254"/>
      <c r="GN96" s="254"/>
      <c r="GO96" s="254"/>
      <c r="GP96" s="254"/>
      <c r="GQ96" s="254"/>
      <c r="GR96" s="254"/>
      <c r="GS96" s="254"/>
      <c r="GT96" s="254"/>
      <c r="GU96" s="254"/>
      <c r="GV96" s="254"/>
      <c r="GW96" s="254"/>
      <c r="GX96" s="254"/>
      <c r="GY96" s="254"/>
      <c r="GZ96" s="254"/>
      <c r="HA96" s="254"/>
      <c r="HB96" s="254"/>
      <c r="HC96" s="254"/>
    </row>
    <row r="97" spans="163:211" ht="15" customHeight="1" x14ac:dyDescent="0.25">
      <c r="FG97" s="254"/>
      <c r="FH97" s="254"/>
      <c r="FI97" s="254"/>
      <c r="FJ97" s="254"/>
      <c r="FK97" s="254"/>
      <c r="FL97" s="254"/>
      <c r="FM97" s="254"/>
      <c r="FN97" s="254"/>
      <c r="FO97" s="254"/>
      <c r="FP97" s="254"/>
      <c r="FQ97" s="254"/>
      <c r="FR97" s="254"/>
      <c r="FS97" s="254"/>
      <c r="FT97" s="254"/>
      <c r="FU97" s="254"/>
      <c r="FV97" s="254"/>
      <c r="FW97" s="254"/>
      <c r="FX97" s="254"/>
      <c r="FY97" s="254"/>
      <c r="FZ97" s="254"/>
      <c r="GA97" s="254"/>
      <c r="GB97" s="254"/>
      <c r="GC97" s="254"/>
      <c r="GD97" s="254"/>
      <c r="GE97" s="254"/>
      <c r="GF97" s="254"/>
      <c r="GG97" s="254"/>
      <c r="GH97" s="254"/>
      <c r="GI97" s="254"/>
      <c r="GJ97" s="254"/>
      <c r="GK97" s="254"/>
      <c r="GL97" s="254"/>
      <c r="GM97" s="254"/>
      <c r="GN97" s="254"/>
      <c r="GO97" s="254"/>
      <c r="GP97" s="254"/>
      <c r="GQ97" s="254"/>
      <c r="GR97" s="254"/>
      <c r="GS97" s="254"/>
      <c r="GT97" s="254"/>
      <c r="GU97" s="254"/>
      <c r="GV97" s="254"/>
      <c r="GW97" s="254"/>
      <c r="GX97" s="254"/>
      <c r="GY97" s="254"/>
      <c r="GZ97" s="254"/>
      <c r="HA97" s="254"/>
      <c r="HB97" s="254"/>
      <c r="HC97" s="254"/>
    </row>
    <row r="98" spans="163:211" ht="15" customHeight="1" x14ac:dyDescent="0.25">
      <c r="FG98" s="254"/>
      <c r="FH98" s="254"/>
      <c r="FI98" s="254"/>
      <c r="FJ98" s="254"/>
      <c r="FK98" s="254"/>
      <c r="FL98" s="254"/>
      <c r="FM98" s="254"/>
      <c r="FN98" s="254"/>
      <c r="FO98" s="254"/>
      <c r="FP98" s="254"/>
      <c r="FQ98" s="254"/>
      <c r="FR98" s="254"/>
      <c r="FS98" s="254"/>
      <c r="FT98" s="254"/>
      <c r="FU98" s="254"/>
      <c r="FV98" s="254"/>
      <c r="FW98" s="254"/>
      <c r="FX98" s="254"/>
      <c r="FY98" s="254"/>
      <c r="FZ98" s="254"/>
      <c r="GA98" s="254"/>
      <c r="GB98" s="254"/>
      <c r="GC98" s="254"/>
      <c r="GD98" s="254"/>
      <c r="GE98" s="254"/>
      <c r="GF98" s="254"/>
      <c r="GG98" s="254"/>
      <c r="GH98" s="254"/>
      <c r="GI98" s="254"/>
      <c r="GJ98" s="254"/>
      <c r="GK98" s="254"/>
      <c r="GL98" s="254"/>
      <c r="GM98" s="254"/>
      <c r="GN98" s="254"/>
      <c r="GO98" s="254"/>
      <c r="GP98" s="254"/>
      <c r="GQ98" s="254"/>
      <c r="GR98" s="254"/>
      <c r="GS98" s="254"/>
      <c r="GT98" s="254"/>
      <c r="GU98" s="254"/>
      <c r="GV98" s="254"/>
      <c r="GW98" s="254"/>
      <c r="GX98" s="254"/>
      <c r="GY98" s="254"/>
      <c r="GZ98" s="254"/>
      <c r="HA98" s="254"/>
      <c r="HB98" s="254"/>
      <c r="HC98" s="254"/>
    </row>
    <row r="99" spans="163:211" ht="15" customHeight="1" x14ac:dyDescent="0.25">
      <c r="FG99" s="254"/>
      <c r="FH99" s="254"/>
      <c r="FI99" s="254"/>
      <c r="FJ99" s="254"/>
      <c r="FK99" s="254"/>
      <c r="FL99" s="254"/>
      <c r="FM99" s="254"/>
      <c r="FN99" s="254"/>
      <c r="FO99" s="254"/>
      <c r="FP99" s="254"/>
      <c r="FQ99" s="254"/>
      <c r="FR99" s="254"/>
      <c r="FS99" s="254"/>
      <c r="FT99" s="254"/>
      <c r="FU99" s="254"/>
      <c r="FV99" s="254"/>
      <c r="FW99" s="254"/>
      <c r="FX99" s="254"/>
      <c r="FY99" s="254"/>
      <c r="FZ99" s="254"/>
      <c r="GA99" s="254"/>
      <c r="GB99" s="254"/>
      <c r="GC99" s="254"/>
      <c r="GD99" s="254"/>
      <c r="GE99" s="254"/>
      <c r="GF99" s="254"/>
      <c r="GG99" s="254"/>
      <c r="GH99" s="254"/>
      <c r="GI99" s="254"/>
      <c r="GJ99" s="254"/>
      <c r="GK99" s="254"/>
      <c r="GL99" s="254"/>
      <c r="GM99" s="254"/>
      <c r="GN99" s="254"/>
      <c r="GO99" s="254"/>
      <c r="GP99" s="254"/>
      <c r="GQ99" s="254"/>
      <c r="GR99" s="254"/>
      <c r="GS99" s="254"/>
      <c r="GT99" s="254"/>
      <c r="GU99" s="254"/>
      <c r="GV99" s="254"/>
      <c r="GW99" s="254"/>
      <c r="GX99" s="254"/>
      <c r="GY99" s="254"/>
      <c r="GZ99" s="254"/>
      <c r="HA99" s="254"/>
      <c r="HB99" s="254"/>
      <c r="HC99" s="254"/>
    </row>
    <row r="100" spans="163:211" ht="15" customHeight="1" x14ac:dyDescent="0.25">
      <c r="FG100" s="254"/>
      <c r="FH100" s="254"/>
      <c r="FI100" s="254"/>
      <c r="FJ100" s="254"/>
      <c r="FK100" s="254"/>
      <c r="FL100" s="254"/>
      <c r="FM100" s="254"/>
      <c r="FN100" s="254"/>
      <c r="FO100" s="254"/>
      <c r="FP100" s="254"/>
      <c r="FQ100" s="254"/>
      <c r="FR100" s="254"/>
      <c r="FS100" s="254"/>
      <c r="FT100" s="254"/>
      <c r="FU100" s="254"/>
      <c r="FV100" s="254"/>
      <c r="FW100" s="254"/>
      <c r="FX100" s="254"/>
      <c r="FY100" s="254"/>
      <c r="FZ100" s="254"/>
      <c r="GA100" s="254"/>
      <c r="GB100" s="254"/>
      <c r="GC100" s="254"/>
      <c r="GD100" s="254"/>
      <c r="GE100" s="254"/>
      <c r="GF100" s="254"/>
      <c r="GG100" s="254"/>
      <c r="GH100" s="254"/>
      <c r="GI100" s="254"/>
      <c r="GJ100" s="254"/>
      <c r="GK100" s="254"/>
      <c r="GL100" s="254"/>
      <c r="GM100" s="254"/>
      <c r="GN100" s="254"/>
      <c r="GO100" s="254"/>
      <c r="GP100" s="254"/>
      <c r="GQ100" s="254"/>
      <c r="GR100" s="254"/>
      <c r="GS100" s="254"/>
      <c r="GT100" s="254"/>
      <c r="GU100" s="254"/>
      <c r="GV100" s="254"/>
      <c r="GW100" s="254"/>
      <c r="GX100" s="254"/>
      <c r="GY100" s="254"/>
      <c r="GZ100" s="254"/>
      <c r="HA100" s="254"/>
      <c r="HB100" s="254"/>
      <c r="HC100" s="254"/>
    </row>
    <row r="101" spans="163:211" ht="15" customHeight="1" x14ac:dyDescent="0.25">
      <c r="FG101" s="254"/>
      <c r="FH101" s="254"/>
      <c r="FI101" s="254"/>
      <c r="FJ101" s="254"/>
      <c r="FK101" s="254"/>
      <c r="FL101" s="254"/>
      <c r="FM101" s="254"/>
      <c r="FN101" s="254"/>
      <c r="FO101" s="254"/>
      <c r="FP101" s="254"/>
      <c r="FQ101" s="254"/>
      <c r="FR101" s="254"/>
      <c r="FS101" s="254"/>
      <c r="FT101" s="254"/>
      <c r="FU101" s="254"/>
      <c r="FV101" s="254"/>
      <c r="FW101" s="254"/>
      <c r="FX101" s="254"/>
      <c r="FY101" s="254"/>
      <c r="FZ101" s="254"/>
      <c r="GA101" s="254"/>
      <c r="GB101" s="254"/>
      <c r="GC101" s="254"/>
      <c r="GD101" s="254"/>
      <c r="GE101" s="254"/>
      <c r="GF101" s="254"/>
      <c r="GG101" s="254"/>
      <c r="GH101" s="254"/>
      <c r="GI101" s="254"/>
      <c r="GJ101" s="254"/>
      <c r="GK101" s="254"/>
      <c r="GL101" s="254"/>
      <c r="GM101" s="254"/>
      <c r="GN101" s="254"/>
      <c r="GO101" s="254"/>
      <c r="GP101" s="254"/>
      <c r="GQ101" s="254"/>
      <c r="GR101" s="254"/>
      <c r="GS101" s="254"/>
      <c r="GT101" s="254"/>
      <c r="GU101" s="254"/>
      <c r="GV101" s="254"/>
      <c r="GW101" s="254"/>
      <c r="GX101" s="254"/>
      <c r="GY101" s="254"/>
      <c r="GZ101" s="254"/>
      <c r="HA101" s="254"/>
      <c r="HB101" s="254"/>
      <c r="HC101" s="254"/>
    </row>
    <row r="102" spans="163:211" ht="15" customHeight="1" x14ac:dyDescent="0.25">
      <c r="FG102" s="254"/>
      <c r="FH102" s="254"/>
      <c r="FI102" s="254"/>
      <c r="FJ102" s="254"/>
      <c r="FK102" s="254"/>
      <c r="FL102" s="254"/>
      <c r="FM102" s="254"/>
      <c r="FN102" s="254"/>
      <c r="FO102" s="254"/>
      <c r="FP102" s="254"/>
      <c r="FQ102" s="254"/>
      <c r="FR102" s="254"/>
      <c r="FS102" s="254"/>
      <c r="FT102" s="254"/>
      <c r="FU102" s="254"/>
      <c r="FV102" s="254"/>
      <c r="FW102" s="254"/>
      <c r="FX102" s="254"/>
      <c r="FY102" s="254"/>
      <c r="FZ102" s="254"/>
      <c r="GA102" s="254"/>
      <c r="GB102" s="254"/>
      <c r="GC102" s="254"/>
      <c r="GD102" s="254"/>
      <c r="GE102" s="254"/>
      <c r="GF102" s="254"/>
      <c r="GG102" s="254"/>
      <c r="GH102" s="254"/>
      <c r="GI102" s="254"/>
      <c r="GJ102" s="254"/>
      <c r="GK102" s="254"/>
      <c r="GL102" s="254"/>
      <c r="GM102" s="254"/>
      <c r="GN102" s="254"/>
      <c r="GO102" s="254"/>
      <c r="GP102" s="254"/>
      <c r="GQ102" s="254"/>
      <c r="GR102" s="254"/>
      <c r="GS102" s="254"/>
      <c r="GT102" s="254"/>
      <c r="GU102" s="254"/>
      <c r="GV102" s="254"/>
      <c r="GW102" s="254"/>
      <c r="GX102" s="254"/>
      <c r="GY102" s="254"/>
      <c r="GZ102" s="254"/>
      <c r="HA102" s="254"/>
      <c r="HB102" s="254"/>
      <c r="HC102" s="254"/>
    </row>
    <row r="103" spans="163:211" ht="15" customHeight="1" x14ac:dyDescent="0.25">
      <c r="FG103" s="254"/>
      <c r="FH103" s="254"/>
      <c r="FI103" s="254"/>
      <c r="FJ103" s="254"/>
      <c r="FK103" s="254"/>
      <c r="FL103" s="254"/>
      <c r="FM103" s="254"/>
      <c r="FN103" s="254"/>
      <c r="FO103" s="254"/>
      <c r="FP103" s="254"/>
      <c r="FQ103" s="254"/>
      <c r="FR103" s="254"/>
      <c r="FS103" s="254"/>
      <c r="FT103" s="254"/>
      <c r="FU103" s="254"/>
      <c r="FV103" s="254"/>
      <c r="FW103" s="254"/>
      <c r="FX103" s="254"/>
      <c r="FY103" s="254"/>
      <c r="FZ103" s="254"/>
      <c r="GA103" s="254"/>
      <c r="GB103" s="254"/>
      <c r="GC103" s="254"/>
      <c r="GD103" s="254"/>
      <c r="GE103" s="254"/>
      <c r="GF103" s="254"/>
      <c r="GG103" s="254"/>
      <c r="GH103" s="254"/>
      <c r="GI103" s="254"/>
      <c r="GJ103" s="254"/>
      <c r="GK103" s="254"/>
      <c r="GL103" s="254"/>
      <c r="GM103" s="254"/>
      <c r="GN103" s="254"/>
      <c r="GO103" s="254"/>
      <c r="GP103" s="254"/>
      <c r="GQ103" s="254"/>
      <c r="GR103" s="254"/>
      <c r="GS103" s="254"/>
      <c r="GT103" s="254"/>
      <c r="GU103" s="254"/>
      <c r="GV103" s="254"/>
      <c r="GW103" s="254"/>
      <c r="GX103" s="254"/>
      <c r="GY103" s="254"/>
      <c r="GZ103" s="254"/>
      <c r="HA103" s="254"/>
      <c r="HB103" s="254"/>
      <c r="HC103" s="254"/>
    </row>
  </sheetData>
  <mergeCells count="77">
    <mergeCell ref="AK31:BC31"/>
    <mergeCell ref="BG31:CH31"/>
    <mergeCell ref="CL31:FA32"/>
    <mergeCell ref="EG27:FF27"/>
    <mergeCell ref="AF28:AU28"/>
    <mergeCell ref="AY28:BZ28"/>
    <mergeCell ref="DN28:EE28"/>
    <mergeCell ref="EG28:FA28"/>
    <mergeCell ref="AK30:BC30"/>
    <mergeCell ref="BG30:CH30"/>
    <mergeCell ref="CL30:FA30"/>
    <mergeCell ref="BV25:CI25"/>
    <mergeCell ref="CJ25:CY25"/>
    <mergeCell ref="CZ25:DK25"/>
    <mergeCell ref="DL25:DY25"/>
    <mergeCell ref="AF27:AU27"/>
    <mergeCell ref="AY27:BZ27"/>
    <mergeCell ref="DN27:EE27"/>
    <mergeCell ref="CQ24:CY24"/>
    <mergeCell ref="CZ24:DK24"/>
    <mergeCell ref="DL24:DY24"/>
    <mergeCell ref="DZ24:EH24"/>
    <mergeCell ref="EI24:EU24"/>
    <mergeCell ref="EV24:FF24"/>
    <mergeCell ref="EI23:EU23"/>
    <mergeCell ref="EV23:FF23"/>
    <mergeCell ref="B24:AF24"/>
    <mergeCell ref="AG24:AL24"/>
    <mergeCell ref="AM24:AQ24"/>
    <mergeCell ref="AR24:BB24"/>
    <mergeCell ref="BC24:BJ24"/>
    <mergeCell ref="BK24:BU24"/>
    <mergeCell ref="BV24:CI24"/>
    <mergeCell ref="CJ24:CP24"/>
    <mergeCell ref="BV23:CI23"/>
    <mergeCell ref="CJ23:CP23"/>
    <mergeCell ref="CQ23:CY23"/>
    <mergeCell ref="CZ23:DK23"/>
    <mergeCell ref="DL23:DY23"/>
    <mergeCell ref="DZ23:EH23"/>
    <mergeCell ref="B23:AF23"/>
    <mergeCell ref="AG23:AL23"/>
    <mergeCell ref="AM23:AQ23"/>
    <mergeCell ref="AR23:BB23"/>
    <mergeCell ref="BC23:BJ23"/>
    <mergeCell ref="BK23:BU23"/>
    <mergeCell ref="CQ21:CY22"/>
    <mergeCell ref="CZ21:DK22"/>
    <mergeCell ref="DL21:DY22"/>
    <mergeCell ref="DZ21:EU21"/>
    <mergeCell ref="EV21:FF22"/>
    <mergeCell ref="AM22:AQ22"/>
    <mergeCell ref="AR22:BB22"/>
    <mergeCell ref="DZ22:EH22"/>
    <mergeCell ref="EI22:EU22"/>
    <mergeCell ref="A19:FF19"/>
    <mergeCell ref="A20:FF20"/>
    <mergeCell ref="A21:A22"/>
    <mergeCell ref="B21:AF22"/>
    <mergeCell ref="AG21:AL22"/>
    <mergeCell ref="AM21:BB21"/>
    <mergeCell ref="BC21:BJ22"/>
    <mergeCell ref="BK21:BU22"/>
    <mergeCell ref="BV21:CI22"/>
    <mergeCell ref="CJ21:CP22"/>
    <mergeCell ref="A13:FF13"/>
    <mergeCell ref="A14:FF14"/>
    <mergeCell ref="A15:FF15"/>
    <mergeCell ref="A16:FF16"/>
    <mergeCell ref="A17:FF17"/>
    <mergeCell ref="A18:FF18"/>
    <mergeCell ref="A6:CF6"/>
    <mergeCell ref="A7:CF7"/>
    <mergeCell ref="A9:FF9"/>
    <mergeCell ref="A10:FF10"/>
    <mergeCell ref="A11:FF11"/>
    <mergeCell ref="A12:FF12"/>
  </mergeCells>
  <pageMargins left="0.70866141732283505" right="0.70866141732283505" top="0.35433070866141703" bottom="0.74803149606299202" header="0.31496062992126" footer="0.31496062992126"/>
  <pageSetup paperSize="9" scale="82" fitToHeight="0" orientation="landscape" horizontalDpi="4294967293" verticalDpi="4294967293" r:id="rId1"/>
  <headerFooter>
    <oddFooter>&amp;LПримечание. Первый экземпляр - покупателю, второй экземпляр - продавцу.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27FC-546D-4255-A7E7-AA2F63CAAE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293</vt:i4>
      </vt:variant>
    </vt:vector>
  </HeadingPairs>
  <TitlesOfParts>
    <vt:vector size="301" baseType="lpstr">
      <vt:lpstr>Дефектовка №1</vt:lpstr>
      <vt:lpstr>Смета №1</vt:lpstr>
      <vt:lpstr>КС-2 №1</vt:lpstr>
      <vt:lpstr>М-29 №1</vt:lpstr>
      <vt:lpstr>КС-3 №1</vt:lpstr>
      <vt:lpstr>Счёт № 1</vt:lpstr>
      <vt:lpstr>Счёт-фактура № 202</vt:lpstr>
      <vt:lpstr>Лист1</vt:lpstr>
      <vt:lpstr>'Смета №1'!AddAddres</vt:lpstr>
      <vt:lpstr>'Смета №1'!AddresObjekta</vt:lpstr>
      <vt:lpstr>'Счёт № 1'!AddresPodr</vt:lpstr>
      <vt:lpstr>'Счёт-фактура № 202'!AddresPokupatel</vt:lpstr>
      <vt:lpstr>'Счёт-фактура № 202'!AddresProdavza</vt:lpstr>
      <vt:lpstr>'КС-2 №1'!AddresStroyki</vt:lpstr>
      <vt:lpstr>'КС-3 №1'!AddresStroyki</vt:lpstr>
      <vt:lpstr>'Счёт № 1'!BankPoluch</vt:lpstr>
      <vt:lpstr>'Счёт № 1'!BIK</vt:lpstr>
      <vt:lpstr>'Счёт № 1'!BottomKomment</vt:lpstr>
      <vt:lpstr>'Счёт № 1'!Buhgalter</vt:lpstr>
      <vt:lpstr>'Смета №1'!ColIdRow</vt:lpstr>
      <vt:lpstr>'Смета №1'!ColTypeRow</vt:lpstr>
      <vt:lpstr>'Счёт-фактура № 202'!ColumnNumbersRow</vt:lpstr>
      <vt:lpstr>'М-29 №1'!Contract_Info</vt:lpstr>
      <vt:lpstr>'М-29 №1'!ContractorId</vt:lpstr>
      <vt:lpstr>'М-29 №1'!ContractorName</vt:lpstr>
      <vt:lpstr>'М-29 №1'!CustomerId</vt:lpstr>
      <vt:lpstr>'М-29 №1'!CustomerName</vt:lpstr>
      <vt:lpstr>'КС-2 №1'!DataDog</vt:lpstr>
      <vt:lpstr>'КС-3 №1'!DataDog</vt:lpstr>
      <vt:lpstr>'Счёт-фактура № 202'!DataDog</vt:lpstr>
      <vt:lpstr>'Смета №1'!DataDogovora</vt:lpstr>
      <vt:lpstr>'Счёт № 1'!DataDogovora</vt:lpstr>
      <vt:lpstr>'Смета №1'!DataDopSogl</vt:lpstr>
      <vt:lpstr>'Счёт-фактура № 202'!DataIspravlenie</vt:lpstr>
      <vt:lpstr>'КС-2 №1'!DataKC2</vt:lpstr>
      <vt:lpstr>'КС-3 №1'!DataKC3</vt:lpstr>
      <vt:lpstr>'Смета №1'!DataPodpisiEstimate</vt:lpstr>
      <vt:lpstr>'Счёт № 1'!DataScheta</vt:lpstr>
      <vt:lpstr>'Счёт-фактура № 202'!DataSchetFaktura</vt:lpstr>
      <vt:lpstr>'М-29 №1'!DateContract</vt:lpstr>
      <vt:lpstr>'М-29 №1'!DateCreateM29</vt:lpstr>
      <vt:lpstr>'М-29 №1'!DateDoc</vt:lpstr>
      <vt:lpstr>'М-29 №1'!DateParentAktKC2</vt:lpstr>
      <vt:lpstr>'Дефектовка №1'!DefName</vt:lpstr>
      <vt:lpstr>'Счёт-фактура № 202'!DocObOtgruzke</vt:lpstr>
      <vt:lpstr>'Счёт-фактура № 202'!DocObOtgruzkeValue</vt:lpstr>
      <vt:lpstr>'Дефектовка №1'!DocumentType</vt:lpstr>
      <vt:lpstr>'КС-2 №1'!DocumentType</vt:lpstr>
      <vt:lpstr>'КС-3 №1'!DocumentType</vt:lpstr>
      <vt:lpstr>'Смета №1'!DocumentType</vt:lpstr>
      <vt:lpstr>'Счёт № 1'!DocumentType</vt:lpstr>
      <vt:lpstr>'Счёт-фактура № 202'!DocumentType</vt:lpstr>
      <vt:lpstr>DocumentType</vt:lpstr>
      <vt:lpstr>'Смета №1'!Dog_AvansPoDogovoru</vt:lpstr>
      <vt:lpstr>'Смета №1'!Dog_NachaloRabot</vt:lpstr>
      <vt:lpstr>'Смета №1'!Dog_OkonchanieRabot</vt:lpstr>
      <vt:lpstr>'Смета №1'!Dog_ProgressPayment</vt:lpstr>
      <vt:lpstr>'Смета №1'!Dog_SrokGarantii</vt:lpstr>
      <vt:lpstr>'Смета №1'!Dog_SrokPayment</vt:lpstr>
      <vt:lpstr>'Смета №1'!Dog_VariantProgressPayment</vt:lpstr>
      <vt:lpstr>'Смета №1'!Dog_WithAvans</vt:lpstr>
      <vt:lpstr>'КС-2 №1'!FillRowInvestor</vt:lpstr>
      <vt:lpstr>'КС-3 №1'!FillRowInvestor</vt:lpstr>
      <vt:lpstr>'Счёт-фактура № 202'!FIOBuhgalter</vt:lpstr>
      <vt:lpstr>'Счёт-фактура № 202'!FIOIP</vt:lpstr>
      <vt:lpstr>'Счёт-фактура № 202'!FIORukovoditel</vt:lpstr>
      <vt:lpstr>'Счёт-фактура № 202'!FirstRow</vt:lpstr>
      <vt:lpstr>'Смета №1'!FormatEstimate</vt:lpstr>
      <vt:lpstr>'Счёт-фактура № 202'!GosContract</vt:lpstr>
      <vt:lpstr>'Счёт-фактура № 202'!GosContractValue</vt:lpstr>
      <vt:lpstr>'Счёт-фактура № 202'!GruzoOtprav</vt:lpstr>
      <vt:lpstr>'Счёт № 1'!GruzoPoluch</vt:lpstr>
      <vt:lpstr>'Счёт-фактура № 202'!GruzoPoluch</vt:lpstr>
      <vt:lpstr>'М-29 №1'!HeaderTable</vt:lpstr>
      <vt:lpstr>'М-29 №1'!IdContract</vt:lpstr>
      <vt:lpstr>'Дефектовка №1'!IdDocument</vt:lpstr>
      <vt:lpstr>'КС-2 №1'!IdDocument</vt:lpstr>
      <vt:lpstr>'КС-3 №1'!IdDocument</vt:lpstr>
      <vt:lpstr>'М-29 №1'!IdDocument</vt:lpstr>
      <vt:lpstr>'Смета №1'!IdDocument</vt:lpstr>
      <vt:lpstr>'Счёт № 1'!IdDocument</vt:lpstr>
      <vt:lpstr>'Счёт-фактура № 202'!IdDocument</vt:lpstr>
      <vt:lpstr>'Счёт-фактура № 202'!IdGruzoOtprav</vt:lpstr>
      <vt:lpstr>'Счёт № 1'!IdGruzoPoluch</vt:lpstr>
      <vt:lpstr>'Счёт-фактура № 202'!IdGruzoPoluch</vt:lpstr>
      <vt:lpstr>'КС-2 №1'!IdKC3</vt:lpstr>
      <vt:lpstr>'М-29 №1'!IdParentAktKC2</vt:lpstr>
      <vt:lpstr>'Счёт-фактура № 202'!IdParentDoc</vt:lpstr>
      <vt:lpstr>'КС-2 №1'!IdParentEst</vt:lpstr>
      <vt:lpstr>'М-29 №1'!IdParentEstimate</vt:lpstr>
      <vt:lpstr>'Смета №1'!IdPodrjadschika</vt:lpstr>
      <vt:lpstr>'Счёт № 1'!IdPokupatel</vt:lpstr>
      <vt:lpstr>'Счёт-фактура № 202'!IdPokupatel</vt:lpstr>
      <vt:lpstr>'Счёт № 1'!IdProdavec</vt:lpstr>
      <vt:lpstr>'Счёт-фактура № 202'!IdProdavez</vt:lpstr>
      <vt:lpstr>'Смета №1'!IdReplacedEstimate</vt:lpstr>
      <vt:lpstr>'Смета №1'!IdZakazschika</vt:lpstr>
      <vt:lpstr>'Счёт № 1'!INN</vt:lpstr>
      <vt:lpstr>'Счёт-фактура № 202'!INNKPPPokupatel</vt:lpstr>
      <vt:lpstr>'Счёт-фактура № 202'!INNKPPProdavza</vt:lpstr>
      <vt:lpstr>'КС-2 №1'!Investor</vt:lpstr>
      <vt:lpstr>'КС-3 №1'!Investor</vt:lpstr>
      <vt:lpstr>'Счёт-фактура № 202'!Ispravlenie</vt:lpstr>
      <vt:lpstr>'Счёт-фактура № 202'!Itog</vt:lpstr>
      <vt:lpstr>'КС-3 №1'!ItogBezNDS</vt:lpstr>
      <vt:lpstr>'Счёт № 1'!Itogo</vt:lpstr>
      <vt:lpstr>'М-29 №1'!Itogo_Row</vt:lpstr>
      <vt:lpstr>'Дефектовка №1'!ItogoMassaMater</vt:lpstr>
      <vt:lpstr>'Дефектовка №1'!ItogoMassaMusora</vt:lpstr>
      <vt:lpstr>'Дефектовка №1'!ItogoPlanStoimostMater</vt:lpstr>
      <vt:lpstr>'Дефектовка №1'!ItogoPlanStoimostRabot</vt:lpstr>
      <vt:lpstr>'Дефектовка №1'!ItogoPoDefektovke</vt:lpstr>
      <vt:lpstr>'Дефектовка №1'!ItogoPoRazdelam</vt:lpstr>
      <vt:lpstr>'КС-2 №1'!ItogoPoRazdelam</vt:lpstr>
      <vt:lpstr>'Смета №1'!ItogoPoRazdelam</vt:lpstr>
      <vt:lpstr>'Дефектовка №1'!ItogoPoRazdelam1</vt:lpstr>
      <vt:lpstr>'Дефектовка №1'!ItogoPoRazdelamDef</vt:lpstr>
      <vt:lpstr>'Дефектовка №1'!ItogoStoimostMaterialov</vt:lpstr>
      <vt:lpstr>'КС-2 №1'!ItogoStoimostMaterialov</vt:lpstr>
      <vt:lpstr>'Смета №1'!ItogoStoimostMaterialov</vt:lpstr>
      <vt:lpstr>'Дефектовка №1'!ItogoStoimostRabot</vt:lpstr>
      <vt:lpstr>'КС-2 №1'!ItogoStoimostRabot</vt:lpstr>
      <vt:lpstr>'Смета №1'!ItogoStoimostRabot</vt:lpstr>
      <vt:lpstr>'Дефектовка №1'!ItogoWork</vt:lpstr>
      <vt:lpstr>'КС-3 №1'!ItogPoAktu</vt:lpstr>
      <vt:lpstr>'Счёт № 1'!ItogPoSchetu</vt:lpstr>
      <vt:lpstr>'Дефектовка №1'!KoeffForMaterial</vt:lpstr>
      <vt:lpstr>'Дефектовка №1'!KoeffForPrice</vt:lpstr>
      <vt:lpstr>'Счёт № 1'!KorrSchet</vt:lpstr>
      <vt:lpstr>'Счёт № 1'!KPP</vt:lpstr>
      <vt:lpstr>'Смета №1'!LabelDataPodpisiPodrjadschika</vt:lpstr>
      <vt:lpstr>'Смета №1'!LabelDataPodpisiZakazschika</vt:lpstr>
      <vt:lpstr>'Смета №1'!LabelEstimate</vt:lpstr>
      <vt:lpstr>'КС-2 №1'!LabelInvestor</vt:lpstr>
      <vt:lpstr>'КС-3 №1'!LabelInvestor</vt:lpstr>
      <vt:lpstr>'Смета №1'!LabelItogoPoSmete</vt:lpstr>
      <vt:lpstr>'Смета №1'!LabelItogoStMater</vt:lpstr>
      <vt:lpstr>'Смета №1'!LabelItogoStRabot</vt:lpstr>
      <vt:lpstr>'Смета №1'!LabelKDogovoru</vt:lpstr>
      <vt:lpstr>'Смета №1'!LabelNaimenovanie</vt:lpstr>
      <vt:lpstr>'Смета №1'!LabelPodpisPodrjadschika</vt:lpstr>
      <vt:lpstr>'Смета №1'!LabelPodpisZakazschika</vt:lpstr>
      <vt:lpstr>'КС-2 №1'!LabelPodrjadchik</vt:lpstr>
      <vt:lpstr>'КС-3 №1'!LabelPodrjadchik</vt:lpstr>
      <vt:lpstr>'Смета №1'!LabelPodrjadschik</vt:lpstr>
      <vt:lpstr>'Смета №1'!LabelPrilogenie</vt:lpstr>
      <vt:lpstr>'КС-2 №1'!LabelStroyka</vt:lpstr>
      <vt:lpstr>'КС-3 №1'!LabelStroyka</vt:lpstr>
      <vt:lpstr>'Смета №1'!LabelUrovenPrice</vt:lpstr>
      <vt:lpstr>'КС-2 №1'!LabelZakazchik</vt:lpstr>
      <vt:lpstr>'КС-3 №1'!LabelZakazchik</vt:lpstr>
      <vt:lpstr>'Смета №1'!LabelZakazschik</vt:lpstr>
      <vt:lpstr>'Дефектовка №1'!LastRowDefektovki</vt:lpstr>
      <vt:lpstr>'Смета №1'!LastRowEstimate</vt:lpstr>
      <vt:lpstr>'КС-2 №1'!LastRowKC2</vt:lpstr>
      <vt:lpstr>'Дефектовка №1'!MassaMater</vt:lpstr>
      <vt:lpstr>'Дефектовка №1'!MassaMusora</vt:lpstr>
      <vt:lpstr>'Смета №1'!MaterialsPlusLimZatr</vt:lpstr>
      <vt:lpstr>'Счёт № 1'!Naimenovanie</vt:lpstr>
      <vt:lpstr>'М-29 №1'!Naimenovanie_Column</vt:lpstr>
      <vt:lpstr>'Смета №1'!NaimenovanieRabot</vt:lpstr>
      <vt:lpstr>'Счёт-фактура № 202'!NameGruzoOtprav</vt:lpstr>
      <vt:lpstr>'Счёт-фактура № 202'!NameGruzoPoluch</vt:lpstr>
      <vt:lpstr>'Счёт-фактура № 202'!NameGruzoPoluchatel</vt:lpstr>
      <vt:lpstr>'Смета №1'!NameObjekt</vt:lpstr>
      <vt:lpstr>'Счёт-фактура № 202'!NameParentDoc</vt:lpstr>
      <vt:lpstr>'Счёт № 1'!NamePodr</vt:lpstr>
      <vt:lpstr>'Смета №1'!NamePodrjadschika</vt:lpstr>
      <vt:lpstr>'Счёт-фактура № 202'!NamePokupatel</vt:lpstr>
      <vt:lpstr>'Счёт № 1'!NamePoluch</vt:lpstr>
      <vt:lpstr>'Счёт-фактура № 202'!NameProdavez</vt:lpstr>
      <vt:lpstr>'Дефектовка №1'!NameShablonDef</vt:lpstr>
      <vt:lpstr>'Смета №1'!NameZakazschika</vt:lpstr>
      <vt:lpstr>'Счёт № 1'!NDS</vt:lpstr>
      <vt:lpstr>'КС-2 №1'!NoPrintTelefon</vt:lpstr>
      <vt:lpstr>'КС-3 №1'!NoPrintTelefon</vt:lpstr>
      <vt:lpstr>'М-29 №1'!NumContract</vt:lpstr>
      <vt:lpstr>'М-29 №1'!NumDoc</vt:lpstr>
      <vt:lpstr>'КС-2 №1'!NumDog</vt:lpstr>
      <vt:lpstr>'КС-3 №1'!NumDog</vt:lpstr>
      <vt:lpstr>'Счёт-фактура № 202'!NumDog</vt:lpstr>
      <vt:lpstr>'Смета №1'!NumDogovora</vt:lpstr>
      <vt:lpstr>'Счёт № 1'!NumDogovora</vt:lpstr>
      <vt:lpstr>'КС-2 №1'!NumDok</vt:lpstr>
      <vt:lpstr>'КС-3 №1'!NumDok</vt:lpstr>
      <vt:lpstr>'Смета №1'!NumDopSogl</vt:lpstr>
      <vt:lpstr>'Смета №1'!NumEstimate</vt:lpstr>
      <vt:lpstr>'Счёт-фактура № 202'!NumIspravlenie</vt:lpstr>
      <vt:lpstr>'М-29 №1'!NumParentAktKC2</vt:lpstr>
      <vt:lpstr>'Смета №1'!NumPril</vt:lpstr>
      <vt:lpstr>'Счёт № 1'!NumScheta</vt:lpstr>
      <vt:lpstr>'Счёт-фактура № 202'!NumSchetFaktura</vt:lpstr>
      <vt:lpstr>'КС-2 №1'!Object</vt:lpstr>
      <vt:lpstr>'Счёт-фактура № 202'!OGRNIP</vt:lpstr>
      <vt:lpstr>'КС-2 №1'!OKPOInvestor</vt:lpstr>
      <vt:lpstr>'КС-3 №1'!OKPOInvestor</vt:lpstr>
      <vt:lpstr>'КС-2 №1'!OKPOPodrjadchik</vt:lpstr>
      <vt:lpstr>'КС-3 №1'!OKPOPodrjadchik</vt:lpstr>
      <vt:lpstr>'КС-2 №1'!OKPOZakazchik</vt:lpstr>
      <vt:lpstr>'КС-3 №1'!OKPOZakazchik</vt:lpstr>
      <vt:lpstr>'КС-2 №1'!OKVDPodrjadchik</vt:lpstr>
      <vt:lpstr>'КС-3 №1'!OKVDPodrjadchik</vt:lpstr>
      <vt:lpstr>'КС-2 №1'!OtchPeriod_Po</vt:lpstr>
      <vt:lpstr>'КС-3 №1'!OtchPeriod_Po</vt:lpstr>
      <vt:lpstr>'КС-2 №1'!OtchPeriod_S</vt:lpstr>
      <vt:lpstr>'КС-3 №1'!OtchPeriod_S</vt:lpstr>
      <vt:lpstr>'М-29 №1'!ParentAktKC2_Info</vt:lpstr>
      <vt:lpstr>'М-29 №1'!Period_Info</vt:lpstr>
      <vt:lpstr>'М-29 №1'!Period_Po</vt:lpstr>
      <vt:lpstr>'М-29 №1'!Period_S</vt:lpstr>
      <vt:lpstr>'Дефектовка №1'!PlanStMater</vt:lpstr>
      <vt:lpstr>'Дефектовка №1'!PlanStoimost</vt:lpstr>
      <vt:lpstr>'Дефектовка №1'!PlanStRabot</vt:lpstr>
      <vt:lpstr>'Счёт-фактура № 202'!PlatRaschDok</vt:lpstr>
      <vt:lpstr>'Счёт-фактура № 202'!PlatRaschDokValue</vt:lpstr>
      <vt:lpstr>'КС-3 №1'!PodpisPodrjadchika</vt:lpstr>
      <vt:lpstr>'КС-3 №1'!PodpisZakazchika</vt:lpstr>
      <vt:lpstr>'КС-2 №1'!Podrjadchik</vt:lpstr>
      <vt:lpstr>'КС-3 №1'!Podrjadchik</vt:lpstr>
      <vt:lpstr>'Счёт № 1'!Pokupatel</vt:lpstr>
      <vt:lpstr>'Счёт-фактура № 202'!Pokupatel</vt:lpstr>
      <vt:lpstr>'Дефектовка №1'!PorNumDok</vt:lpstr>
      <vt:lpstr>'Смета №1'!PorNumDok</vt:lpstr>
      <vt:lpstr>'Счёт № 1'!PorNumDok</vt:lpstr>
      <vt:lpstr>'Счёт-фактура № 202'!PorNumDoс</vt:lpstr>
      <vt:lpstr>'Счёт-фактура № 202'!Postanovlenie</vt:lpstr>
      <vt:lpstr>'М-29 №1'!PredmetContract</vt:lpstr>
      <vt:lpstr>'Дефектовка №1'!PredstavlenieNDS</vt:lpstr>
      <vt:lpstr>'КС-2 №1'!PredstavlenieNDS</vt:lpstr>
      <vt:lpstr>'Смета №1'!PredstavlenieNDS</vt:lpstr>
      <vt:lpstr>'КС-2 №1'!Prinjal</vt:lpstr>
      <vt:lpstr>'Смета №1'!PrintSostProv</vt:lpstr>
      <vt:lpstr>PrintTitleRow</vt:lpstr>
      <vt:lpstr>'Счёт № 1'!ProcentAvansa</vt:lpstr>
      <vt:lpstr>'Счёт-фактура № 202'!Prodavez</vt:lpstr>
      <vt:lpstr>'Дефектовка №1'!ProgrammVersion</vt:lpstr>
      <vt:lpstr>'КС-2 №1'!ProgrammVersion</vt:lpstr>
      <vt:lpstr>'КС-3 №1'!ProgrammVersion</vt:lpstr>
      <vt:lpstr>'Смета №1'!ProgrammVersion</vt:lpstr>
      <vt:lpstr>'Счёт № 1'!ProgrammVersion</vt:lpstr>
      <vt:lpstr>'Счёт-фактура № 202'!ProgrammVersion</vt:lpstr>
      <vt:lpstr>'М-29 №1'!Prorab_info</vt:lpstr>
      <vt:lpstr>'М-29 №1'!Prorab_Podpis</vt:lpstr>
      <vt:lpstr>'М-29 №1'!ProrabId</vt:lpstr>
      <vt:lpstr>ProrabName</vt:lpstr>
      <vt:lpstr>'Счёт № 1'!RaschSchet</vt:lpstr>
      <vt:lpstr>'Счёт № 1'!Rukovoditel</vt:lpstr>
      <vt:lpstr>'Счёт № 1'!Schet</vt:lpstr>
      <vt:lpstr>'Счёт-фактура № 202'!SchetFaktura</vt:lpstr>
      <vt:lpstr>'КС-2 №1'!Sdal</vt:lpstr>
      <vt:lpstr>'Дефектовка №1'!SmStMater</vt:lpstr>
      <vt:lpstr>'Дефектовка №1'!SmStoimost</vt:lpstr>
      <vt:lpstr>'Дефектовка №1'!SmStRabot</vt:lpstr>
      <vt:lpstr>'Дефектовка №1'!StavkaNDS</vt:lpstr>
      <vt:lpstr>'КС-2 №1'!StavkaNDS</vt:lpstr>
      <vt:lpstr>'КС-3 №1'!StavkaNDS</vt:lpstr>
      <vt:lpstr>'Смета №1'!StavkaNDS</vt:lpstr>
      <vt:lpstr>'Счёт № 1'!StavkaNDS</vt:lpstr>
      <vt:lpstr>'Счёт-фактура № 202'!StavkaNDS</vt:lpstr>
      <vt:lpstr>'КС-2 №1'!Stroyka</vt:lpstr>
      <vt:lpstr>'КС-3 №1'!Stroyka</vt:lpstr>
      <vt:lpstr>'КС-2 №1'!Summa_NDS</vt:lpstr>
      <vt:lpstr>'КС-2 №1'!Summa_VsegoPoAktu</vt:lpstr>
      <vt:lpstr>'Счёт-фактура № 202'!SummaDog</vt:lpstr>
      <vt:lpstr>'Счёт № 1'!SummaDogovora</vt:lpstr>
      <vt:lpstr>'Дефектовка №1'!SummaNDS</vt:lpstr>
      <vt:lpstr>'КС-3 №1'!SummaNDS</vt:lpstr>
      <vt:lpstr>'Смета №1'!SummaNDS</vt:lpstr>
      <vt:lpstr>'КС-3 №1'!SummaNDS_label</vt:lpstr>
      <vt:lpstr>'КС-2 №1'!SummaPoDogovoru</vt:lpstr>
      <vt:lpstr>'КС-3 №1'!SummaPoDogovoru</vt:lpstr>
      <vt:lpstr>'Счёт № 1'!SumProp</vt:lpstr>
      <vt:lpstr>'М-29 №1'!TipDokumenta</vt:lpstr>
      <vt:lpstr>'Счёт № 1'!TopKomment</vt:lpstr>
      <vt:lpstr>'Смета №1'!TypeEstimate</vt:lpstr>
      <vt:lpstr>'Смета №1'!TypeEstToDogOrDopSogl</vt:lpstr>
      <vt:lpstr>'Счёт-фактура № 202'!Valuta</vt:lpstr>
      <vt:lpstr>'Счёт-фактура № 202'!ValutaValue</vt:lpstr>
      <vt:lpstr>'Счёт № 1'!VidPlatega</vt:lpstr>
      <vt:lpstr>'Счёт № 1'!VsegoNaimenjvaniy</vt:lpstr>
      <vt:lpstr>'Дефектовка №1'!VsegoPoSmete</vt:lpstr>
      <vt:lpstr>'Смета №1'!VsegoPoSmete</vt:lpstr>
      <vt:lpstr>'Дефектовка №1'!Work</vt:lpstr>
      <vt:lpstr>'КС-2 №1'!Zakazchik</vt:lpstr>
      <vt:lpstr>'КС-3 №1'!Zakazchik</vt:lpstr>
      <vt:lpstr>'Дефектовка №1'!ВНС</vt:lpstr>
      <vt:lpstr>'Дефектовка №1'!Заголовки_для_печати</vt:lpstr>
      <vt:lpstr>'КС-2 №1'!Заголовки_для_печати</vt:lpstr>
      <vt:lpstr>'М-29 №1'!Заголовки_для_печати</vt:lpstr>
      <vt:lpstr>'Смета №1'!Заголовки_для_печати</vt:lpstr>
      <vt:lpstr>'Дефектовка №1'!ЛНИ</vt:lpstr>
      <vt:lpstr>'Дефектовка №1'!НР</vt:lpstr>
      <vt:lpstr>'Дефектовка №1'!Область_печати</vt:lpstr>
      <vt:lpstr>'КС-2 №1'!Область_печати</vt:lpstr>
      <vt:lpstr>'КС-3 №1'!Область_печати</vt:lpstr>
      <vt:lpstr>'М-29 №1'!Область_печати</vt:lpstr>
      <vt:lpstr>'Смета №1'!Область_печати</vt:lpstr>
      <vt:lpstr>'Счёт № 1'!Область_печати</vt:lpstr>
      <vt:lpstr>'Счёт-фактура № 202'!Область_печати</vt:lpstr>
      <vt:lpstr>'Дефектовка №1'!УЧП</vt:lpstr>
      <vt:lpstr>'Дефектовка №1'!УЧР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2026-02-19T08:21:13Z</dcterms:created>
  <dcterms:modified xsi:type="dcterms:W3CDTF">2026-02-19T08:30:15Z</dcterms:modified>
</cp:coreProperties>
</file>