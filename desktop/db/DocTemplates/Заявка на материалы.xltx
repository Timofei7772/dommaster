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/>
  <workbookPr codeName="ЭтаКнига"/>
  <bookViews>
    <workbookView xWindow="-120" yWindow="-120" windowWidth="29040" windowHeight="15840"/>
  </bookViews>
  <sheets>
    <sheet name="Заявка" sheetId="1" r:id="rId1"/>
  </sheets>
  <definedNames>
    <definedName name="AddressDelivery" localSheetId="0">Заявка!$C$12</definedName>
    <definedName name="DateDelivery" localSheetId="0">Заявка!$C$11</definedName>
    <definedName name="DateDoc" localSheetId="0">Заявка!$F$7</definedName>
    <definedName name="DocumentType" localSheetId="0">Заявка!$GR$1</definedName>
    <definedName name="Email" localSheetId="0">Заявка!$E$5</definedName>
    <definedName name="HeaderTable" localSheetId="0">Заявка!$A$13</definedName>
    <definedName name="IdDocument" localSheetId="0">Заявка!$GS$1</definedName>
    <definedName name="IdManager" localSheetId="0">Заявка!$HB$3</definedName>
    <definedName name="IdPokupatel" localSheetId="0">Заявка!$HB$1</definedName>
    <definedName name="Itogo" localSheetId="0">Заявка!$F$17</definedName>
    <definedName name="ManagerName" localSheetId="0">Заявка!$E$3</definedName>
    <definedName name="Massa" localSheetId="0">Заявка!$C$19</definedName>
    <definedName name="Message" localSheetId="0">Заявка!$B$22</definedName>
    <definedName name="NumDoc" localSheetId="0">Заявка!$C$7</definedName>
    <definedName name="Pokupatel" localSheetId="0">Заявка!$A$1</definedName>
    <definedName name="RekvisitsPokupatel" localSheetId="0">Заявка!$A$2</definedName>
    <definedName name="SposobDelivery" localSheetId="0">Заявка!$C$10</definedName>
    <definedName name="Telephone" localSheetId="0">Заявка!$E$4</definedName>
    <definedName name="_xlnm.Print_Area" localSheetId="0">Заявка!$A$1:$F$22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1"/>
  <c r="C19" s="1"/>
  <c r="I15"/>
  <c r="I16"/>
  <c r="F16"/>
  <c r="F15"/>
  <c r="F14"/>
  <c r="C11"/>
  <c r="F17" l="1"/>
</calcChain>
</file>

<file path=xl/sharedStrings.xml><?xml version="1.0" encoding="utf-8"?>
<sst xmlns="http://schemas.openxmlformats.org/spreadsheetml/2006/main" count="36" uniqueCount="35">
  <si>
    <t>mr</t>
  </si>
  <si>
    <t>irazd</t>
  </si>
  <si>
    <t>mat</t>
  </si>
  <si>
    <t>meh</t>
  </si>
  <si>
    <t>Стоимость</t>
  </si>
  <si>
    <t>Цена</t>
  </si>
  <si>
    <t>Ед. изм.</t>
  </si>
  <si>
    <t>Кол-во</t>
  </si>
  <si>
    <t>№ п/п</t>
  </si>
  <si>
    <t>509d54b0-fc5d-4432-b75c-d4609fde9755</t>
  </si>
  <si>
    <t>Контактное лицо:</t>
  </si>
  <si>
    <t>тел:</t>
  </si>
  <si>
    <t>email:</t>
  </si>
  <si>
    <t>дата заявки:</t>
  </si>
  <si>
    <t>на поставку строительных материалов</t>
  </si>
  <si>
    <t>Адрес доставки:</t>
  </si>
  <si>
    <t>Способ доставки:</t>
  </si>
  <si>
    <t>Доставка поставщика</t>
  </si>
  <si>
    <t>Сообщение:</t>
  </si>
  <si>
    <t>Заявка №</t>
  </si>
  <si>
    <t>Итого:</t>
  </si>
  <si>
    <t>Наименование материалов</t>
  </si>
  <si>
    <t>Иванов Иван Иванович</t>
  </si>
  <si>
    <t>8 (903) 123-45-67</t>
  </si>
  <si>
    <t>yourmail@gmail.com</t>
  </si>
  <si>
    <t>Например: Прошу указать стоимость доставки отдельной строкой.</t>
  </si>
  <si>
    <t>Планируемая дата доставки:</t>
  </si>
  <si>
    <t>заявка_на_материалы</t>
  </si>
  <si>
    <t>ООО "Покупатель"</t>
  </si>
  <si>
    <t>ИНН/КПП и банковские реквизиты покупателя</t>
  </si>
  <si>
    <t>Масса ед-цы, тонн</t>
  </si>
  <si>
    <t>Масса, тонн</t>
  </si>
  <si>
    <t>Общая масса материалов (ориентировочно):</t>
  </si>
  <si>
    <t>тонн</t>
  </si>
  <si>
    <t>Справочно</t>
  </si>
</sst>
</file>

<file path=xl/styles.xml><?xml version="1.0" encoding="utf-8"?>
<styleSheet xmlns="http://schemas.openxmlformats.org/spreadsheetml/2006/main">
  <numFmts count="2">
    <numFmt numFmtId="164" formatCode="#,##0.000_ ;[Red]\-#,##0.000\ "/>
    <numFmt numFmtId="165" formatCode="#,##0.00_ ;[Red]\-#,##0.00\ "/>
  </numFmts>
  <fonts count="12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rgb="FFFFFFFF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u/>
      <sz val="12"/>
      <color theme="1"/>
      <name val="Times New Roman"/>
      <family val="1"/>
      <charset val="204"/>
    </font>
    <font>
      <sz val="12"/>
      <color theme="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22"/>
      <color theme="0" tint="-0.249977111117893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center" vertical="center" wrapText="1"/>
    </xf>
    <xf numFmtId="49" fontId="2" fillId="0" borderId="0" xfId="0" applyNumberFormat="1" applyFont="1"/>
    <xf numFmtId="0" fontId="1" fillId="0" borderId="5" xfId="0" applyFont="1" applyBorder="1"/>
    <xf numFmtId="14" fontId="1" fillId="0" borderId="0" xfId="0" applyNumberFormat="1" applyFont="1" applyAlignment="1"/>
    <xf numFmtId="14" fontId="1" fillId="0" borderId="0" xfId="0" applyNumberFormat="1" applyFont="1" applyAlignment="1">
      <alignment horizontal="right"/>
    </xf>
    <xf numFmtId="14" fontId="5" fillId="0" borderId="0" xfId="1" applyNumberFormat="1" applyAlignment="1"/>
    <xf numFmtId="14" fontId="3" fillId="0" borderId="0" xfId="0" applyNumberFormat="1" applyFont="1" applyAlignment="1"/>
    <xf numFmtId="14" fontId="6" fillId="0" borderId="0" xfId="1" applyNumberFormat="1" applyFont="1" applyAlignment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4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/>
    </xf>
    <xf numFmtId="0" fontId="9" fillId="0" borderId="0" xfId="0" applyFont="1"/>
    <xf numFmtId="14" fontId="1" fillId="0" borderId="0" xfId="0" applyNumberFormat="1" applyFont="1" applyAlignment="1">
      <alignment horizontal="left" indent="1"/>
    </xf>
    <xf numFmtId="0" fontId="3" fillId="0" borderId="0" xfId="0" applyFont="1" applyAlignment="1">
      <alignment horizontal="left" vertical="top"/>
    </xf>
    <xf numFmtId="14" fontId="3" fillId="0" borderId="0" xfId="0" applyNumberFormat="1" applyFont="1" applyAlignment="1">
      <alignment horizontal="left" indent="1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/>
    </xf>
    <xf numFmtId="0" fontId="1" fillId="0" borderId="11" xfId="0" applyFont="1" applyBorder="1" applyAlignment="1">
      <alignment horizontal="left" vertical="top" wrapText="1"/>
    </xf>
    <xf numFmtId="0" fontId="1" fillId="0" borderId="11" xfId="0" applyFont="1" applyBorder="1" applyAlignment="1">
      <alignment horizontal="left"/>
    </xf>
    <xf numFmtId="0" fontId="3" fillId="0" borderId="6" xfId="0" applyFont="1" applyBorder="1"/>
    <xf numFmtId="0" fontId="1" fillId="0" borderId="6" xfId="0" applyFont="1" applyBorder="1"/>
    <xf numFmtId="0" fontId="3" fillId="0" borderId="6" xfId="0" applyFont="1" applyBorder="1" applyAlignment="1">
      <alignment horizontal="right"/>
    </xf>
    <xf numFmtId="0" fontId="1" fillId="0" borderId="0" xfId="0" applyFont="1" applyAlignment="1">
      <alignment horizontal="right" vertical="top"/>
    </xf>
    <xf numFmtId="0" fontId="4" fillId="0" borderId="5" xfId="0" applyFont="1" applyBorder="1" applyAlignment="1">
      <alignment vertical="center"/>
    </xf>
    <xf numFmtId="164" fontId="1" fillId="0" borderId="3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164" fontId="1" fillId="0" borderId="7" xfId="0" applyNumberFormat="1" applyFont="1" applyBorder="1" applyAlignment="1">
      <alignment horizontal="right"/>
    </xf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0" fontId="3" fillId="0" borderId="0" xfId="0" applyFont="1" applyBorder="1"/>
    <xf numFmtId="0" fontId="1" fillId="0" borderId="0" xfId="0" applyFont="1" applyBorder="1"/>
    <xf numFmtId="0" fontId="3" fillId="0" borderId="0" xfId="0" applyFont="1" applyBorder="1" applyAlignment="1">
      <alignment horizontal="right"/>
    </xf>
    <xf numFmtId="40" fontId="3" fillId="0" borderId="0" xfId="0" applyNumberFormat="1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/>
    <xf numFmtId="165" fontId="1" fillId="0" borderId="2" xfId="0" applyNumberFormat="1" applyFont="1" applyBorder="1" applyAlignment="1">
      <alignment horizontal="right"/>
    </xf>
    <xf numFmtId="165" fontId="1" fillId="0" borderId="8" xfId="0" applyNumberFormat="1" applyFont="1" applyBorder="1" applyAlignment="1">
      <alignment horizontal="right"/>
    </xf>
    <xf numFmtId="165" fontId="1" fillId="0" borderId="11" xfId="0" applyNumberFormat="1" applyFont="1" applyBorder="1" applyAlignment="1">
      <alignment horizontal="right"/>
    </xf>
    <xf numFmtId="165" fontId="1" fillId="0" borderId="1" xfId="0" applyNumberFormat="1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165" fontId="1" fillId="0" borderId="12" xfId="0" applyNumberFormat="1" applyFont="1" applyBorder="1" applyAlignment="1">
      <alignment horizontal="right"/>
    </xf>
    <xf numFmtId="0" fontId="1" fillId="0" borderId="0" xfId="0" applyFont="1" applyFill="1"/>
    <xf numFmtId="0" fontId="8" fillId="0" borderId="0" xfId="0" applyFont="1" applyFill="1"/>
    <xf numFmtId="0" fontId="1" fillId="2" borderId="0" xfId="0" applyFont="1" applyFill="1"/>
    <xf numFmtId="165" fontId="3" fillId="0" borderId="6" xfId="0" applyNumberFormat="1" applyFont="1" applyBorder="1" applyAlignment="1">
      <alignment horizontal="right"/>
    </xf>
    <xf numFmtId="0" fontId="1" fillId="0" borderId="3" xfId="0" applyFont="1" applyBorder="1" applyAlignment="1">
      <alignment horizontal="center" vertical="top"/>
    </xf>
    <xf numFmtId="0" fontId="1" fillId="0" borderId="7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3" fillId="0" borderId="0" xfId="0" applyFont="1" applyAlignment="1">
      <alignment horizontal="left" vertical="top" wrapText="1" indent="1"/>
    </xf>
    <xf numFmtId="0" fontId="1" fillId="2" borderId="0" xfId="0" applyFont="1" applyFill="1" applyAlignment="1">
      <alignment horizontal="left" vertical="top"/>
    </xf>
    <xf numFmtId="0" fontId="1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EA68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ourmai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EA68AC"/>
    <pageSetUpPr fitToPage="1"/>
  </sheetPr>
  <dimension ref="A1:HZ27"/>
  <sheetViews>
    <sheetView showGridLines="0" tabSelected="1" zoomScaleNormal="100" workbookViewId="0">
      <selection activeCell="C7" sqref="C7"/>
    </sheetView>
  </sheetViews>
  <sheetFormatPr defaultRowHeight="15.75"/>
  <cols>
    <col min="1" max="1" width="6.42578125" style="1" customWidth="1"/>
    <col min="2" max="2" width="67.7109375" style="1" customWidth="1"/>
    <col min="3" max="3" width="13" style="1" customWidth="1"/>
    <col min="4" max="4" width="9.7109375" style="1" customWidth="1"/>
    <col min="5" max="5" width="16.7109375" style="1" customWidth="1"/>
    <col min="6" max="6" width="18.7109375" style="1" customWidth="1"/>
    <col min="7" max="7" width="13.42578125" style="1" customWidth="1"/>
    <col min="8" max="15" width="16.28515625" style="1" customWidth="1"/>
    <col min="16" max="157" width="9.140625" style="2"/>
    <col min="158" max="158" width="123.7109375" style="2" customWidth="1"/>
    <col min="159" max="234" width="9.140625" style="2"/>
    <col min="235" max="16384" width="9.140625" style="1"/>
  </cols>
  <sheetData>
    <row r="1" spans="1:210" ht="27" customHeight="1">
      <c r="A1" s="34" t="s">
        <v>28</v>
      </c>
      <c r="B1" s="7"/>
      <c r="C1" s="7"/>
      <c r="D1" s="7"/>
      <c r="E1" s="7"/>
      <c r="F1" s="7"/>
      <c r="GR1" s="2" t="s">
        <v>27</v>
      </c>
      <c r="HB1" s="22"/>
    </row>
    <row r="2" spans="1:210" ht="39.75" customHeight="1">
      <c r="A2" s="63" t="s">
        <v>29</v>
      </c>
      <c r="B2" s="63"/>
      <c r="C2" s="63"/>
      <c r="D2" s="63"/>
      <c r="E2" s="63"/>
      <c r="F2" s="63"/>
      <c r="GR2" s="6"/>
    </row>
    <row r="3" spans="1:210">
      <c r="A3" s="8"/>
      <c r="B3" s="8"/>
      <c r="D3" s="9" t="s">
        <v>10</v>
      </c>
      <c r="E3" s="11" t="s">
        <v>22</v>
      </c>
      <c r="F3" s="8"/>
      <c r="GR3" s="6" t="s">
        <v>9</v>
      </c>
    </row>
    <row r="4" spans="1:210">
      <c r="A4" s="8"/>
      <c r="B4" s="8"/>
      <c r="D4" s="9" t="s">
        <v>11</v>
      </c>
      <c r="E4" s="11" t="s">
        <v>23</v>
      </c>
      <c r="F4" s="8"/>
      <c r="GR4" s="6"/>
    </row>
    <row r="5" spans="1:210">
      <c r="A5" s="8"/>
      <c r="B5" s="8"/>
      <c r="D5" s="9" t="s">
        <v>12</v>
      </c>
      <c r="E5" s="10" t="s">
        <v>24</v>
      </c>
      <c r="F5" s="8"/>
      <c r="GR5" s="6"/>
    </row>
    <row r="6" spans="1:210">
      <c r="A6" s="8"/>
      <c r="B6" s="8"/>
      <c r="D6" s="9"/>
      <c r="E6" s="12"/>
      <c r="F6" s="8"/>
      <c r="GR6" s="6"/>
    </row>
    <row r="7" spans="1:210" ht="23.25">
      <c r="A7" s="8"/>
      <c r="B7" s="15" t="s">
        <v>19</v>
      </c>
      <c r="C7" s="21">
        <v>1</v>
      </c>
      <c r="D7" s="9"/>
      <c r="E7" s="17" t="s">
        <v>13</v>
      </c>
      <c r="F7" s="23">
        <v>43835</v>
      </c>
      <c r="GR7" s="6"/>
    </row>
    <row r="8" spans="1:210" ht="19.5" customHeight="1">
      <c r="A8" s="8"/>
      <c r="B8" s="15"/>
      <c r="D8" s="16" t="s">
        <v>14</v>
      </c>
      <c r="GR8" s="6"/>
    </row>
    <row r="9" spans="1:210" ht="17.25" customHeight="1">
      <c r="A9" s="62"/>
      <c r="B9" s="62"/>
      <c r="C9" s="62"/>
      <c r="D9" s="62"/>
      <c r="E9" s="62"/>
      <c r="F9" s="62"/>
    </row>
    <row r="10" spans="1:210" ht="15.75" customHeight="1">
      <c r="A10" s="19"/>
      <c r="B10" s="17" t="s">
        <v>16</v>
      </c>
      <c r="C10" s="20" t="s">
        <v>17</v>
      </c>
      <c r="D10" s="24"/>
      <c r="E10" s="24"/>
      <c r="F10" s="24"/>
    </row>
    <row r="11" spans="1:210" ht="15.75" customHeight="1">
      <c r="A11" s="18"/>
      <c r="B11" s="14" t="s">
        <v>26</v>
      </c>
      <c r="C11" s="25">
        <f ca="1">TODAY()</f>
        <v>44005</v>
      </c>
      <c r="D11" s="13"/>
      <c r="E11" s="13"/>
      <c r="F11" s="13"/>
    </row>
    <row r="12" spans="1:210" ht="32.25" customHeight="1">
      <c r="B12" s="33" t="s">
        <v>15</v>
      </c>
      <c r="C12" s="60"/>
      <c r="D12" s="60"/>
      <c r="E12" s="60"/>
      <c r="F12" s="60"/>
      <c r="H12" s="64" t="s">
        <v>34</v>
      </c>
      <c r="I12" s="64"/>
    </row>
    <row r="13" spans="1:210" ht="32.1" customHeight="1">
      <c r="A13" s="5" t="s">
        <v>8</v>
      </c>
      <c r="B13" s="5" t="s">
        <v>21</v>
      </c>
      <c r="C13" s="5" t="s">
        <v>7</v>
      </c>
      <c r="D13" s="5" t="s">
        <v>6</v>
      </c>
      <c r="E13" s="5" t="s">
        <v>5</v>
      </c>
      <c r="F13" s="5" t="s">
        <v>4</v>
      </c>
      <c r="H13" s="5" t="s">
        <v>30</v>
      </c>
      <c r="I13" s="5" t="s">
        <v>31</v>
      </c>
    </row>
    <row r="14" spans="1:210">
      <c r="A14" s="57">
        <v>1</v>
      </c>
      <c r="B14" s="4"/>
      <c r="C14" s="47"/>
      <c r="D14" s="3"/>
      <c r="E14" s="47"/>
      <c r="F14" s="50">
        <f>ROUND(C14*ROUND(E14,2),2)</f>
        <v>0</v>
      </c>
      <c r="H14" s="35"/>
      <c r="I14" s="36">
        <f>ROUND(C14*ROUND(H14,3),3)</f>
        <v>0</v>
      </c>
      <c r="P14" s="2" t="s">
        <v>2</v>
      </c>
    </row>
    <row r="15" spans="1:210">
      <c r="A15" s="58">
        <v>2</v>
      </c>
      <c r="B15" s="26"/>
      <c r="C15" s="48"/>
      <c r="D15" s="27"/>
      <c r="E15" s="48"/>
      <c r="F15" s="51">
        <f>ROUND(C15*ROUND(E15,2),2)</f>
        <v>0</v>
      </c>
      <c r="H15" s="37"/>
      <c r="I15" s="38">
        <f>ROUND(C15*ROUND(H15,3),3)</f>
        <v>0</v>
      </c>
      <c r="P15" s="2" t="s">
        <v>2</v>
      </c>
    </row>
    <row r="16" spans="1:210">
      <c r="A16" s="59">
        <v>3</v>
      </c>
      <c r="B16" s="28"/>
      <c r="C16" s="49"/>
      <c r="D16" s="29"/>
      <c r="E16" s="49"/>
      <c r="F16" s="52">
        <f>ROUND(C16*ROUND(E16,2),2)</f>
        <v>0</v>
      </c>
      <c r="H16" s="39"/>
      <c r="I16" s="40">
        <f>ROUND(C16*ROUND(H16,3),3)</f>
        <v>0</v>
      </c>
      <c r="P16" s="2" t="s">
        <v>3</v>
      </c>
    </row>
    <row r="17" spans="1:16">
      <c r="A17" s="30"/>
      <c r="B17" s="31"/>
      <c r="C17" s="31"/>
      <c r="D17" s="31"/>
      <c r="E17" s="32" t="s">
        <v>20</v>
      </c>
      <c r="F17" s="56">
        <f>SUM(F14:F16)</f>
        <v>0</v>
      </c>
      <c r="P17" s="2" t="s">
        <v>1</v>
      </c>
    </row>
    <row r="18" spans="1:16">
      <c r="A18" s="41"/>
      <c r="B18" s="42"/>
      <c r="C18" s="42"/>
      <c r="D18" s="42"/>
      <c r="E18" s="43"/>
      <c r="F18" s="44"/>
    </row>
    <row r="19" spans="1:16">
      <c r="A19" s="41"/>
      <c r="B19" s="43" t="s">
        <v>32</v>
      </c>
      <c r="C19" s="45">
        <f>SUM(I14:I16)</f>
        <v>0</v>
      </c>
      <c r="D19" s="46" t="s">
        <v>33</v>
      </c>
      <c r="E19" s="43"/>
      <c r="F19" s="44"/>
    </row>
    <row r="20" spans="1:16">
      <c r="P20" s="2" t="s">
        <v>0</v>
      </c>
    </row>
    <row r="21" spans="1:16">
      <c r="A21" s="53"/>
      <c r="B21" s="54" t="s">
        <v>18</v>
      </c>
      <c r="C21" s="53"/>
      <c r="D21" s="53"/>
      <c r="E21" s="53"/>
      <c r="F21" s="53"/>
    </row>
    <row r="22" spans="1:16" ht="59.25" customHeight="1">
      <c r="A22" s="55"/>
      <c r="B22" s="61" t="s">
        <v>25</v>
      </c>
      <c r="C22" s="61"/>
      <c r="D22" s="61"/>
      <c r="E22" s="61"/>
      <c r="F22" s="61"/>
    </row>
    <row r="27" spans="1:16">
      <c r="B27" s="53"/>
    </row>
  </sheetData>
  <mergeCells count="5">
    <mergeCell ref="C12:F12"/>
    <mergeCell ref="B22:F22"/>
    <mergeCell ref="A9:F9"/>
    <mergeCell ref="A2:F2"/>
    <mergeCell ref="H12:I12"/>
  </mergeCells>
  <hyperlinks>
    <hyperlink ref="E5" r:id="rId1"/>
  </hyperlinks>
  <pageMargins left="0.7" right="0.7" top="0.75" bottom="0.75" header="0.3" footer="0.3"/>
  <pageSetup paperSize="9" scale="66" fitToHeight="0" orientation="portrait" horizontalDpi="4294967293" verticalDpi="4294967293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19</vt:i4>
      </vt:variant>
    </vt:vector>
  </HeadingPairs>
  <TitlesOfParts>
    <vt:vector size="20" baseType="lpstr">
      <vt:lpstr>Заявка</vt:lpstr>
      <vt:lpstr>Заявка!AddressDelivery</vt:lpstr>
      <vt:lpstr>Заявка!DateDelivery</vt:lpstr>
      <vt:lpstr>Заявка!DateDoc</vt:lpstr>
      <vt:lpstr>Заявка!DocumentType</vt:lpstr>
      <vt:lpstr>Заявка!Email</vt:lpstr>
      <vt:lpstr>Заявка!HeaderTable</vt:lpstr>
      <vt:lpstr>Заявка!IdDocument</vt:lpstr>
      <vt:lpstr>Заявка!IdManager</vt:lpstr>
      <vt:lpstr>Заявка!IdPokupatel</vt:lpstr>
      <vt:lpstr>Заявка!Itogo</vt:lpstr>
      <vt:lpstr>Заявка!ManagerName</vt:lpstr>
      <vt:lpstr>Заявка!Massa</vt:lpstr>
      <vt:lpstr>Заявка!Message</vt:lpstr>
      <vt:lpstr>Заявка!NumDoc</vt:lpstr>
      <vt:lpstr>Заявка!Pokupatel</vt:lpstr>
      <vt:lpstr>Заявка!RekvisitsPokupatel</vt:lpstr>
      <vt:lpstr>Заявка!SposobDelivery</vt:lpstr>
      <vt:lpstr>Заявка!Telephone</vt:lpstr>
      <vt:lpstr>Заявка!Область_печати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</dc:creator>
  <cp:lastModifiedBy>Сергей</cp:lastModifiedBy>
  <cp:lastPrinted>2020-01-05T23:02:16Z</cp:lastPrinted>
  <dcterms:created xsi:type="dcterms:W3CDTF">2020-01-05T21:43:41Z</dcterms:created>
  <dcterms:modified xsi:type="dcterms:W3CDTF">2020-06-23T10:02:07Z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68ed1f1e-c89a-4226-ac2e-30f53597076f</vt:lpwstr>
  </property>
</Properties>
</file>