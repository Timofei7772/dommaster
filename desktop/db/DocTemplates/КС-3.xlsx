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сметы нов\"/>
    </mc:Choice>
  </mc:AlternateContent>
  <xr:revisionPtr revIDLastSave="0" documentId="8_{80992F56-C4AF-4ECF-8552-76AB21F0CF73}" xr6:coauthVersionLast="47" xr6:coauthVersionMax="47" xr10:uidLastSave="{00000000-0000-0000-0000-000000000000}"/>
  <bookViews>
    <workbookView xWindow="-120" yWindow="-120" windowWidth="29040" windowHeight="15720" activeTab="3" xr2:uid="{7E8A984E-58F6-4B38-88A2-F32C162F37B1}"/>
  </bookViews>
  <sheets>
    <sheet name="Дефектовка №1" sheetId="2" r:id="rId1"/>
    <sheet name="Смета №1" sheetId="3" r:id="rId2"/>
    <sheet name="КС-2 №1" sheetId="4" r:id="rId3"/>
    <sheet name="КС-3 №1" sheetId="5" r:id="rId4"/>
    <sheet name="Лист1" sheetId="1" r:id="rId5"/>
  </sheets>
  <definedNames>
    <definedName name="AddAddres" localSheetId="1">'Смета №1'!$GR$8</definedName>
    <definedName name="AddresObjekta" localSheetId="1">'Смета №1'!$U$2</definedName>
    <definedName name="AddresStroyki" localSheetId="2">'КС-2 №1'!$U$1</definedName>
    <definedName name="AddresStroyki" localSheetId="3">'КС-3 №1'!$GR$6</definedName>
    <definedName name="ColIdRow" localSheetId="1">'Смета №1'!$AA$1</definedName>
    <definedName name="ColTypeRow" localSheetId="1">'Смета №1'!$P$1</definedName>
    <definedName name="DataDog" localSheetId="2">'КС-2 №1'!$H$17</definedName>
    <definedName name="DataDog" localSheetId="3">'КС-3 №1'!$BN$17</definedName>
    <definedName name="DataDogovora" localSheetId="1">'Смета №1'!$U$3</definedName>
    <definedName name="DataDopSogl" localSheetId="1">'Смета №1'!$W$3</definedName>
    <definedName name="DataKC2" localSheetId="2">'КС-2 №1'!$E$22</definedName>
    <definedName name="DataKC3" localSheetId="3">'КС-3 №1'!$BC$23</definedName>
    <definedName name="DataPodpisiEstimate" localSheetId="1">'Смета №1'!$X$1</definedName>
    <definedName name="DefName" localSheetId="0">'Дефектовка №1'!$A$5</definedName>
    <definedName name="DocumentType" localSheetId="0">'Дефектовка №1'!$GR$1</definedName>
    <definedName name="DocumentType" localSheetId="2">'КС-2 №1'!$GR$1</definedName>
    <definedName name="DocumentType" localSheetId="3">'КС-3 №1'!$GR$1</definedName>
    <definedName name="DocumentType" localSheetId="1">'Смета №1'!$GR$1</definedName>
    <definedName name="Dog_AvansPoDogovoru" localSheetId="1">'Смета №1'!$GW$3</definedName>
    <definedName name="Dog_NachaloRabot" localSheetId="1">'Смета №1'!$GZ$3</definedName>
    <definedName name="Dog_OkonchanieRabot" localSheetId="1">'Смета №1'!$HA$3</definedName>
    <definedName name="Dog_ProgressPayment" localSheetId="1">'Смета №1'!$GX$3</definedName>
    <definedName name="Dog_SrokGarantii" localSheetId="1">'Смета №1'!$HB$3</definedName>
    <definedName name="Dog_SrokPayment" localSheetId="1">'Смета №1'!$HC$3</definedName>
    <definedName name="Dog_VariantProgressPayment" localSheetId="1">'Смета №1'!$GY$3</definedName>
    <definedName name="Dog_WithAvans" localSheetId="1">'Смета №1'!$GV$3</definedName>
    <definedName name="FillRowInvestor" localSheetId="2">'КС-2 №1'!$R$3</definedName>
    <definedName name="FillRowInvestor" localSheetId="3">'КС-3 №1'!$GR$3</definedName>
    <definedName name="FormatEstimate" localSheetId="1">'Смета №1'!$GR$2</definedName>
    <definedName name="IdDocument" localSheetId="0">'Дефектовка №1'!$GS$1</definedName>
    <definedName name="IdDocument" localSheetId="2">'КС-2 №1'!$GS$1</definedName>
    <definedName name="IdDocument" localSheetId="3">'КС-3 №1'!$GS$1</definedName>
    <definedName name="IdDocument" localSheetId="1">'Смета №1'!$GS$1</definedName>
    <definedName name="IdKC3" localSheetId="2">'КС-2 №1'!$GR$5</definedName>
    <definedName name="IdParentEst" localSheetId="2">'КС-2 №1'!$GR$2</definedName>
    <definedName name="IdPodrjadschika" localSheetId="1">'Смета №1'!$T$5</definedName>
    <definedName name="IdReplacedEstimate" localSheetId="1">'Смета №1'!$Y$3</definedName>
    <definedName name="IdZakazschika" localSheetId="1">'Смета №1'!$U$5</definedName>
    <definedName name="Investor" localSheetId="2">'КС-2 №1'!$V$4</definedName>
    <definedName name="Investor" localSheetId="3">'КС-3 №1'!$GR$7</definedName>
    <definedName name="ItogBezNDS" localSheetId="3">'КС-3 №1'!$BP$35</definedName>
    <definedName name="ItogoMassaMater" localSheetId="0">'Дефектовка №1'!$Y$31</definedName>
    <definedName name="ItogoMassaMusora" localSheetId="0">'Дефектовка №1'!$X$31</definedName>
    <definedName name="ItogoPlanStoimostMater" localSheetId="0">'Дефектовка №1'!$F$33</definedName>
    <definedName name="ItogoPlanStoimostRabot" localSheetId="0">'Дефектовка №1'!$F$32</definedName>
    <definedName name="ItogoPoDefektovke" localSheetId="0">'Дефектовка №1'!$F$36</definedName>
    <definedName name="ItogoPoRazdelam" localSheetId="0">'Дефектовка №1'!$J$40</definedName>
    <definedName name="ItogoPoRazdelam" localSheetId="2">'КС-2 №1'!$H$43</definedName>
    <definedName name="ItogoPoRazdelam" localSheetId="1">'Смета №1'!$F$29</definedName>
    <definedName name="ItogoPoRazdelam1" localSheetId="0">'Дефектовка №1'!$J$31</definedName>
    <definedName name="ItogoPoRazdelamDef" localSheetId="0">'Дефектовка №1'!$F$31</definedName>
    <definedName name="ItogoStoimostMaterialov" localSheetId="0">'Дефектовка №1'!$J$33</definedName>
    <definedName name="ItogoStoimostMaterialov" localSheetId="2">'КС-2 №1'!$H$45</definedName>
    <definedName name="ItogoStoimostMaterialov" localSheetId="1">'Смета №1'!$F$31</definedName>
    <definedName name="ItogoStoimostRabot" localSheetId="0">'Дефектовка №1'!$J$32</definedName>
    <definedName name="ItogoStoimostRabot" localSheetId="2">'КС-2 №1'!$H$44</definedName>
    <definedName name="ItogoStoimostRabot" localSheetId="1">'Смета №1'!$F$30</definedName>
    <definedName name="ItogoWork" localSheetId="0">'Дефектовка №1'!$W$31</definedName>
    <definedName name="ItogPoAktu" localSheetId="3">'КС-3 №1'!$BP$37</definedName>
    <definedName name="KoeffForMaterial" localSheetId="0">'Дефектовка №1'!$A$2</definedName>
    <definedName name="KoeffForPrice" localSheetId="0">'Дефектовка №1'!$A$1</definedName>
    <definedName name="LabelDataPodpisiPodrjadschika" localSheetId="1">'Смета №1'!$C$4</definedName>
    <definedName name="LabelDataPodpisiZakazschika" localSheetId="1">'Смета №1'!$A$4</definedName>
    <definedName name="LabelEstimate" localSheetId="1">'Смета №1'!$A$5</definedName>
    <definedName name="LabelInvestor" localSheetId="2">'КС-2 №1'!$C$6</definedName>
    <definedName name="LabelInvestor" localSheetId="3">'КС-3 №1'!$I$7</definedName>
    <definedName name="LabelItogoPoSmete" localSheetId="1">'Смета №1'!$F$9</definedName>
    <definedName name="LabelItogoStMater" localSheetId="1">'Смета №1'!$F$11</definedName>
    <definedName name="LabelItogoStRabot" localSheetId="1">'Смета №1'!$F$10</definedName>
    <definedName name="LabelKDogovoru" localSheetId="1">'Смета №1'!$A$8</definedName>
    <definedName name="LabelNaimenovanie" localSheetId="1">'Смета №1'!$A$6</definedName>
    <definedName name="LabelPodpisPodrjadschika" localSheetId="1">'Смета №1'!$C$3</definedName>
    <definedName name="LabelPodpisZakazschika" localSheetId="1">'Смета №1'!$A$3</definedName>
    <definedName name="LabelPodrjadchik" localSheetId="2">'КС-2 №1'!$C$10</definedName>
    <definedName name="LabelPodrjadchik" localSheetId="3">'КС-3 №1'!$I$11</definedName>
    <definedName name="LabelPodrjadschik" localSheetId="1">'Смета №1'!$C$2</definedName>
    <definedName name="LabelPrilogenie" localSheetId="1">'Смета №1'!$A$7</definedName>
    <definedName name="LabelStroyka" localSheetId="2">'КС-2 №1'!$C$12</definedName>
    <definedName name="LabelStroyka" localSheetId="3">'КС-3 №1'!$I$13</definedName>
    <definedName name="LabelUrovenPrice" localSheetId="1">'Смета №1'!$A$11</definedName>
    <definedName name="LabelZakazchik" localSheetId="2">'КС-2 №1'!$C$8</definedName>
    <definedName name="LabelZakazchik" localSheetId="3">'КС-3 №1'!$I$9</definedName>
    <definedName name="LabelZakazschik" localSheetId="1">'Смета №1'!$A$2</definedName>
    <definedName name="LastRowDefektovki" localSheetId="0">'Дефектовка №1'!$P$44</definedName>
    <definedName name="LastRowEstimate" localSheetId="1">'Смета №1'!$P$34</definedName>
    <definedName name="LastRowKC2" localSheetId="2">'КС-2 №1'!$P$48</definedName>
    <definedName name="MassaMater" localSheetId="0">'Дефектовка №1'!$E$2</definedName>
    <definedName name="MassaMusora" localSheetId="0">'Дефектовка №1'!$E$3</definedName>
    <definedName name="MaterialsPlusLimZatr" localSheetId="1">'Смета №1'!$GR$6</definedName>
    <definedName name="NaimenovanieRabot" localSheetId="1">'Смета №1'!$V$1</definedName>
    <definedName name="NameObjekt" localSheetId="1">'Смета №1'!$T$2</definedName>
    <definedName name="NamePodrjadschika" localSheetId="1">'Смета №1'!$T$4</definedName>
    <definedName name="NameShablonDef" localSheetId="0">'Дефектовка №1'!$Q$1</definedName>
    <definedName name="NameZakazschika" localSheetId="1">'Смета №1'!$U$4</definedName>
    <definedName name="NoPrintTelefon" localSheetId="2">'КС-2 №1'!$R$4</definedName>
    <definedName name="NoPrintTelefon" localSheetId="3">'КС-3 №1'!$GT$3</definedName>
    <definedName name="NumDog" localSheetId="2">'КС-2 №1'!$H$16</definedName>
    <definedName name="NumDog" localSheetId="3">'КС-3 №1'!$BN$16</definedName>
    <definedName name="NumDogovora" localSheetId="1">'Смета №1'!$T$3</definedName>
    <definedName name="NumDok" localSheetId="2">'КС-2 №1'!$D$22</definedName>
    <definedName name="NumDok" localSheetId="3">'КС-3 №1'!$AR$23</definedName>
    <definedName name="NumDopSogl" localSheetId="1">'Смета №1'!$V$3</definedName>
    <definedName name="NumEstimate" localSheetId="1">'Смета №1'!$U$1</definedName>
    <definedName name="NumPril" localSheetId="1">'Смета №1'!$W$1</definedName>
    <definedName name="Object" localSheetId="2">'КС-2 №1'!$C$14</definedName>
    <definedName name="OKPOInvestor" localSheetId="2">'КС-2 №1'!$H$6</definedName>
    <definedName name="OKPOInvestor" localSheetId="3">'КС-3 №1'!$BN$7</definedName>
    <definedName name="OKPOPodrjadchik" localSheetId="2">'КС-2 №1'!$H$9</definedName>
    <definedName name="OKPOPodrjadchik" localSheetId="3">'КС-3 №1'!$BN$10</definedName>
    <definedName name="OKPOZakazchik" localSheetId="2">'КС-2 №1'!$H$7</definedName>
    <definedName name="OKPOZakazchik" localSheetId="3">'КС-3 №1'!$BN$8</definedName>
    <definedName name="OKVDPodrjadchik" localSheetId="2">'КС-2 №1'!$H$15</definedName>
    <definedName name="OKVDPodrjadchik" localSheetId="3">'КС-3 №1'!$BN$14</definedName>
    <definedName name="OtchPeriod_Po" localSheetId="2">'КС-2 №1'!$H$22</definedName>
    <definedName name="OtchPeriod_Po" localSheetId="3">'КС-3 №1'!$BV$23</definedName>
    <definedName name="OtchPeriod_S" localSheetId="2">'КС-2 №1'!$G$22</definedName>
    <definedName name="OtchPeriod_S" localSheetId="3">'КС-3 №1'!$BO$23</definedName>
    <definedName name="PlanStMater" localSheetId="0">'Дефектовка №1'!$I$3</definedName>
    <definedName name="PlanStoimost" localSheetId="0">'Дефектовка №1'!$J$3</definedName>
    <definedName name="PlanStRabot" localSheetId="0">'Дефектовка №1'!$G$3</definedName>
    <definedName name="PodpisPodrjadchika" localSheetId="3">'КС-3 №1'!$V$47</definedName>
    <definedName name="PodpisZakazchika" localSheetId="3">'КС-3 №1'!$V$41</definedName>
    <definedName name="Podrjadchik" localSheetId="2">'КС-2 №1'!$T$4</definedName>
    <definedName name="Podrjadchik" localSheetId="3">'КС-3 №1'!$GR$9</definedName>
    <definedName name="PorNumDok" localSheetId="0">'Дефектовка №1'!$GR$4</definedName>
    <definedName name="PorNumDok" localSheetId="1">'Смета №1'!$GR$5</definedName>
    <definedName name="PredstavlenieNDS" localSheetId="0">'Дефектовка №1'!$GV$1</definedName>
    <definedName name="PredstavlenieNDS" localSheetId="2">'КС-2 №1'!$GV$1</definedName>
    <definedName name="PredstavlenieNDS" localSheetId="1">'Смета №1'!$GV$1</definedName>
    <definedName name="Prinjal" localSheetId="2">'КС-2 №1'!$C$51</definedName>
    <definedName name="PrintSostProv" localSheetId="1">'Смета №1'!$GR$7</definedName>
    <definedName name="ProgrammVersion" localSheetId="0">'Дефектовка №1'!$GR$3</definedName>
    <definedName name="ProgrammVersion" localSheetId="2">'КС-2 №1'!$GR$3</definedName>
    <definedName name="ProgrammVersion" localSheetId="3">'КС-3 №1'!$GS$3</definedName>
    <definedName name="ProgrammVersion" localSheetId="1">'Смета №1'!$GR$4</definedName>
    <definedName name="Sdal" localSheetId="2">'КС-2 №1'!$C$49</definedName>
    <definedName name="SmStMater" localSheetId="0">'Дефектовка №1'!$I$2</definedName>
    <definedName name="SmStoimost" localSheetId="0">'Дефектовка №1'!$J$2</definedName>
    <definedName name="SmStRabot" localSheetId="0">'Дефектовка №1'!$G$2</definedName>
    <definedName name="StavkaNDS" localSheetId="0">'Дефектовка №1'!$GW$1</definedName>
    <definedName name="StavkaNDS" localSheetId="2">'КС-2 №1'!$GW$1</definedName>
    <definedName name="StavkaNDS" localSheetId="3">'КС-3 №1'!$GW$1</definedName>
    <definedName name="StavkaNDS" localSheetId="1">'Смета №1'!$GW$1</definedName>
    <definedName name="Stroyka" localSheetId="2">'КС-2 №1'!$T$1</definedName>
    <definedName name="Stroyka" localSheetId="3">'КС-3 №1'!$GR$5</definedName>
    <definedName name="Summa_NDS" localSheetId="2">'КС-2 №1'!$H$47</definedName>
    <definedName name="Summa_VsegoPoAktu" localSheetId="2">'КС-2 №1'!$H$48</definedName>
    <definedName name="SummaNDS" localSheetId="0">'Дефектовка №1'!$J$42</definedName>
    <definedName name="SummaNDS" localSheetId="3">'КС-3 №1'!$BP$36</definedName>
    <definedName name="SummaNDS" localSheetId="1">'Смета №1'!$F$33</definedName>
    <definedName name="SummaNDS_label" localSheetId="3">'КС-3 №1'!$BN$36</definedName>
    <definedName name="SummaPoDogovoru" localSheetId="2">'КС-2 №1'!$E$24</definedName>
    <definedName name="SummaPoDogovoru" localSheetId="3">'КС-3 №1'!$GR$4</definedName>
    <definedName name="TypeEstimate" localSheetId="1">'Смета №1'!$T$1</definedName>
    <definedName name="TypeEstToDogOrDopSogl" localSheetId="1">'Смета №1'!$X$3</definedName>
    <definedName name="VsegoPoSmete" localSheetId="0">'Дефектовка №1'!$J$43</definedName>
    <definedName name="VsegoPoSmete" localSheetId="1">'Смета №1'!$F$34</definedName>
    <definedName name="Work" localSheetId="0">'Дефектовка №1'!$E$1</definedName>
    <definedName name="Zakazchik" localSheetId="2">'КС-2 №1'!$U$4</definedName>
    <definedName name="Zakazchik" localSheetId="3">'КС-3 №1'!$GR$8</definedName>
    <definedName name="ВНС" localSheetId="0">'Дефектовка №1'!$A$3</definedName>
    <definedName name="_xlnm.Print_Titles" localSheetId="0">'Дефектовка №1'!$7:$7</definedName>
    <definedName name="_xlnm.Print_Titles" localSheetId="2">'КС-2 №1'!$27:$27</definedName>
    <definedName name="_xlnm.Print_Titles" localSheetId="1">'Смета №1'!$13:$13</definedName>
    <definedName name="ЛНИ" localSheetId="0">'Дефектовка №1'!$A$4</definedName>
    <definedName name="НР" localSheetId="0">'Дефектовка №1'!$C$35</definedName>
    <definedName name="_xlnm.Print_Area" localSheetId="0">'Дефектовка №1'!$A$5:$F$37</definedName>
    <definedName name="_xlnm.Print_Area" localSheetId="2">'КС-2 №1'!$A$1:$H$52</definedName>
    <definedName name="_xlnm.Print_Area" localSheetId="3">'КС-3 №1'!$A$1:$CB$49</definedName>
    <definedName name="_xlnm.Print_Area" localSheetId="1">'Смета №1'!$A$1:$F$38</definedName>
    <definedName name="УЧП" localSheetId="0">'Дефектовка №1'!$J$4</definedName>
    <definedName name="УЧР" localSheetId="0">'Дефектовка №1'!$I$4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37" i="5" l="1"/>
  <c r="BP35" i="5"/>
  <c r="BP31" i="5"/>
  <c r="BC31" i="5"/>
  <c r="AP31" i="5"/>
  <c r="FC34" i="5"/>
  <c r="FB13" i="5"/>
  <c r="FB11" i="5"/>
  <c r="FB9" i="5"/>
  <c r="FB7" i="5"/>
  <c r="FB12" i="4"/>
  <c r="FB14" i="4"/>
  <c r="FB10" i="4"/>
  <c r="FB8" i="4"/>
  <c r="FB6" i="4"/>
  <c r="H48" i="4"/>
  <c r="H45" i="4"/>
  <c r="H40" i="4"/>
  <c r="H39" i="4"/>
  <c r="H35" i="4"/>
  <c r="H34" i="4"/>
  <c r="H33" i="4"/>
  <c r="H32" i="4"/>
  <c r="H31" i="4"/>
  <c r="H30" i="4"/>
  <c r="H36" i="4" s="1"/>
  <c r="F34" i="3"/>
  <c r="F31" i="3"/>
  <c r="F30" i="3"/>
  <c r="F10" i="3" s="1"/>
  <c r="F29" i="3"/>
  <c r="F27" i="3"/>
  <c r="F26" i="3"/>
  <c r="F25" i="3"/>
  <c r="F22" i="3"/>
  <c r="F21" i="3"/>
  <c r="F20" i="3"/>
  <c r="F19" i="3"/>
  <c r="F18" i="3"/>
  <c r="F17" i="3"/>
  <c r="F16" i="3"/>
  <c r="F9" i="3"/>
  <c r="J43" i="2"/>
  <c r="Q1" i="2"/>
  <c r="J29" i="2"/>
  <c r="F29" i="2"/>
  <c r="Y27" i="2"/>
  <c r="X25" i="2"/>
  <c r="W25" i="2"/>
  <c r="F25" i="2"/>
  <c r="H25" i="2"/>
  <c r="I25" i="2" s="1"/>
  <c r="J25" i="2" s="1"/>
  <c r="X24" i="2"/>
  <c r="W24" i="2"/>
  <c r="F24" i="2"/>
  <c r="H24" i="2"/>
  <c r="J20" i="2"/>
  <c r="J33" i="2" s="1"/>
  <c r="F20" i="2"/>
  <c r="F33" i="2" s="1"/>
  <c r="I3" i="2" s="1"/>
  <c r="Y18" i="2"/>
  <c r="Y31" i="2" s="1"/>
  <c r="E2" i="2" s="1"/>
  <c r="X16" i="2"/>
  <c r="W16" i="2"/>
  <c r="F16" i="2"/>
  <c r="H16" i="2"/>
  <c r="I16" i="2" s="1"/>
  <c r="X15" i="2"/>
  <c r="W15" i="2"/>
  <c r="F15" i="2"/>
  <c r="H15" i="2"/>
  <c r="I15" i="2" s="1"/>
  <c r="J15" i="2" s="1"/>
  <c r="X14" i="2"/>
  <c r="W14" i="2"/>
  <c r="F14" i="2"/>
  <c r="H14" i="2"/>
  <c r="I14" i="2" s="1"/>
  <c r="X13" i="2"/>
  <c r="W13" i="2"/>
  <c r="F13" i="2"/>
  <c r="H13" i="2"/>
  <c r="I13" i="2" s="1"/>
  <c r="J13" i="2" s="1"/>
  <c r="X12" i="2"/>
  <c r="W12" i="2"/>
  <c r="F12" i="2"/>
  <c r="H12" i="2"/>
  <c r="I12" i="2" s="1"/>
  <c r="X11" i="2"/>
  <c r="W11" i="2"/>
  <c r="F11" i="2"/>
  <c r="F18" i="2" s="1"/>
  <c r="H11" i="2"/>
  <c r="I11" i="2" s="1"/>
  <c r="J11" i="2" s="1"/>
  <c r="H43" i="4" l="1"/>
  <c r="H41" i="4"/>
  <c r="H44" i="4"/>
  <c r="F11" i="3"/>
  <c r="F27" i="2"/>
  <c r="F31" i="2"/>
  <c r="F35" i="2" s="1"/>
  <c r="F36" i="2" s="1"/>
  <c r="J3" i="2" s="1"/>
  <c r="F19" i="2"/>
  <c r="X18" i="2"/>
  <c r="W18" i="2"/>
  <c r="F28" i="2"/>
  <c r="W27" i="2"/>
  <c r="X27" i="2"/>
  <c r="J14" i="2"/>
  <c r="J19" i="2" s="1"/>
  <c r="I24" i="2"/>
  <c r="J24" i="2" s="1"/>
  <c r="J16" i="2"/>
  <c r="I2" i="2"/>
  <c r="J12" i="2"/>
  <c r="X31" i="2" l="1"/>
  <c r="E3" i="2" s="1"/>
  <c r="W31" i="2"/>
  <c r="E1" i="2" s="1"/>
  <c r="F32" i="2"/>
  <c r="G3" i="2" s="1"/>
  <c r="J18" i="2"/>
  <c r="J31" i="2" s="1"/>
  <c r="J40" i="2" s="1"/>
  <c r="J27" i="2"/>
  <c r="J28" i="2"/>
  <c r="J32" i="2" s="1"/>
  <c r="G2" i="2" s="1"/>
  <c r="J2" i="2"/>
  <c r="J4" i="2" s="1"/>
  <c r="I4" i="2" s="1"/>
</calcChain>
</file>

<file path=xl/sharedStrings.xml><?xml version="1.0" encoding="utf-8"?>
<sst xmlns="http://schemas.openxmlformats.org/spreadsheetml/2006/main" count="475" uniqueCount="228">
  <si>
    <t>дефектовка</t>
  </si>
  <si>
    <t>9.1.0.5</t>
  </si>
  <si>
    <t>445924aa-8392-41ef-8d64-4a36ede7bbb4</t>
  </si>
  <si>
    <t>Коэфф. для стоимости работ</t>
  </si>
  <si>
    <t>Работа</t>
  </si>
  <si>
    <t>Материал</t>
  </si>
  <si>
    <t>Всего</t>
  </si>
  <si>
    <t>type</t>
  </si>
  <si>
    <t>Коэфф. для стоимости материалов</t>
  </si>
  <si>
    <t>См. стоимость:</t>
  </si>
  <si>
    <t>itogi</t>
  </si>
  <si>
    <t>ВНС</t>
  </si>
  <si>
    <t>План. затраты:</t>
  </si>
  <si>
    <t>ЛНИ</t>
  </si>
  <si>
    <t>УЧР / УЧП:</t>
  </si>
  <si>
    <t>Столбцы сметы</t>
  </si>
  <si>
    <t>ved</t>
  </si>
  <si>
    <t>Трудозатр единицы, чел/час</t>
  </si>
  <si>
    <t>Масса единицы, тонн</t>
  </si>
  <si>
    <t>Раз ряд</t>
  </si>
  <si>
    <t>Трудо затраты, чел/час</t>
  </si>
  <si>
    <t>Масса мусора, тонн</t>
  </si>
  <si>
    <t>Масса материала, тонн</t>
  </si>
  <si>
    <t>№ п/п</t>
  </si>
  <si>
    <t>Наименование работ, материалов, затрат</t>
  </si>
  <si>
    <t>ед. изм.</t>
  </si>
  <si>
    <t>Кол-во</t>
  </si>
  <si>
    <t>Цена</t>
  </si>
  <si>
    <t>Стоимость</t>
  </si>
  <si>
    <t>k</t>
  </si>
  <si>
    <t>Сметная цена</t>
  </si>
  <si>
    <t>Сметная стоимость</t>
  </si>
  <si>
    <t>shapka</t>
  </si>
  <si>
    <t>Трудозатр, чел/час:</t>
  </si>
  <si>
    <t>Мат-лы, тонн:</t>
  </si>
  <si>
    <t>Мусор, тонн:</t>
  </si>
  <si>
    <t>Скрыть детали</t>
  </si>
  <si>
    <t>Показать детали</t>
  </si>
  <si>
    <t>Ремонтно отделочные работы</t>
  </si>
  <si>
    <t>не облагается</t>
  </si>
  <si>
    <t>mr</t>
  </si>
  <si>
    <t>razd</t>
  </si>
  <si>
    <t>Раздел: Ванная</t>
  </si>
  <si>
    <t>vps</t>
  </si>
  <si>
    <t>pr</t>
  </si>
  <si>
    <t>Подготовка(грунтование 2 раза,обеспыливание,заделка трещин)</t>
  </si>
  <si>
    <t>м2</t>
  </si>
  <si>
    <t>дс</t>
  </si>
  <si>
    <t>a1e1ebf4-7e9c-4a6e-8780-a6d9d88e1893</t>
  </si>
  <si>
    <t>Установка маяков</t>
  </si>
  <si>
    <t>28740349-9725-4eab-881f-9f7c88357661</t>
  </si>
  <si>
    <t>Монтаж демферной ленты по периметру(по факту)</t>
  </si>
  <si>
    <t>пог.м</t>
  </si>
  <si>
    <t>367594f4-0248-45eb-96ee-8dff83b9aa0a</t>
  </si>
  <si>
    <t>.</t>
  </si>
  <si>
    <t>Стяжка пола до 20 мм (наливной ) + 100 руб. за каждые 10мм к
цене стяжки</t>
  </si>
  <si>
    <t>8d93fc2b-3518-4f34-ad2a-7c0db0443af8</t>
  </si>
  <si>
    <t>Уборка,перенос различных придметов в помещение</t>
  </si>
  <si>
    <t>шт</t>
  </si>
  <si>
    <t>862645c2-35e0-4bda-9888-7d0300601ae9</t>
  </si>
  <si>
    <t>Укладка кварцвинила на подложку</t>
  </si>
  <si>
    <t>nps</t>
  </si>
  <si>
    <t>irazd</t>
  </si>
  <si>
    <t>Итого по разделу:</t>
  </si>
  <si>
    <t>irazdp</t>
  </si>
  <si>
    <t>в т.ч. стоимость работ:</t>
  </si>
  <si>
    <t>irazdm</t>
  </si>
  <si>
    <t>в т.ч. стоимость материалов:</t>
  </si>
  <si>
    <t>Раздел: ванная</t>
  </si>
  <si>
    <t>Чистка стыков перед затиркой</t>
  </si>
  <si>
    <t>Затирка плитки сух.смесями шов 45 градусов</t>
  </si>
  <si>
    <t>itog</t>
  </si>
  <si>
    <t>Итого по разделам:</t>
  </si>
  <si>
    <t>itogp</t>
  </si>
  <si>
    <t>itogm</t>
  </si>
  <si>
    <t>empt</t>
  </si>
  <si>
    <t>nr</t>
  </si>
  <si>
    <t>Прочие расходы:</t>
  </si>
  <si>
    <t>ived</t>
  </si>
  <si>
    <t>Итого по ведомости:</t>
  </si>
  <si>
    <t>Надбавки и скидки для сметы (Подвал сметы)</t>
  </si>
  <si>
    <t>smitograzd</t>
  </si>
  <si>
    <t>lz_nothi</t>
  </si>
  <si>
    <t>nds</t>
  </si>
  <si>
    <t>НДС:</t>
  </si>
  <si>
    <t>smitog</t>
  </si>
  <si>
    <t>Всего по смете:</t>
  </si>
  <si>
    <t>endall</t>
  </si>
  <si>
    <t>смета</t>
  </si>
  <si>
    <t>6-графка (книжная)</t>
  </si>
  <si>
    <t>Утверждаю:</t>
  </si>
  <si>
    <t>Согласовано:</t>
  </si>
  <si>
    <t>Смета</t>
  </si>
  <si>
    <t>Сметная стоимость:</t>
  </si>
  <si>
    <t>Стоимость работы:</t>
  </si>
  <si>
    <t>Стоимость материалов:</t>
  </si>
  <si>
    <t>Ед. изм.</t>
  </si>
  <si>
    <t>8e85a709-e4d3-4c09-bb8a-7bd8d9487ef2</t>
  </si>
  <si>
    <t>ЗАО "Заказчик"</t>
  </si>
  <si>
    <t>Генеральный директор ЗАО "Заказчик"</t>
  </si>
  <si>
    <t xml:space="preserve">                                                 / Иванов И.И. /</t>
  </si>
  <si>
    <t>a26301f9-78db-4940-86ed-8f0ba2ce8b8e</t>
  </si>
  <si>
    <t>ООО РСК ДОММАСТЕР</t>
  </si>
  <si>
    <t>Генеральный директор ООО РСК ДОММАСТЕР</t>
  </si>
  <si>
    <t xml:space="preserve">                                                 / Тимербулатов Зинур Динарович /</t>
  </si>
  <si>
    <t>19.02.2026                            м.п.</t>
  </si>
  <si>
    <t>Смета № 1</t>
  </si>
  <si>
    <t>г. Москва, ул. Самая длинная, д.54</t>
  </si>
  <si>
    <t>на Ремонтно отделочные работы по адресу: г. Москва, ул. Самая длинная, д.54</t>
  </si>
  <si>
    <t>Приложение № 1</t>
  </si>
  <si>
    <t>к Договору № _____ от 19.02.2026г.</t>
  </si>
  <si>
    <t>составлена в уровне текущих цен на Февраль 2026г.</t>
  </si>
  <si>
    <t>Итого по разделу</t>
  </si>
  <si>
    <t>Итого по разделам</t>
  </si>
  <si>
    <t>в т.ч. стоимость материалов и машин:</t>
  </si>
  <si>
    <t>Всего по смете</t>
  </si>
  <si>
    <t>Составил: ___________________________________ / ______________________________________ /</t>
  </si>
  <si>
    <t>Проверил: ___________________________________ / ______________________________________ /</t>
  </si>
  <si>
    <t>1</t>
  </si>
  <si>
    <t>2</t>
  </si>
  <si>
    <t>3</t>
  </si>
  <si>
    <t>4</t>
  </si>
  <si>
    <t>5</t>
  </si>
  <si>
    <t>6</t>
  </si>
  <si>
    <t>В течение 5 (пяти) банковских дней</t>
  </si>
  <si>
    <t>в соответствии с Договором</t>
  </si>
  <si>
    <t>в течение 20 (двадцати) рабочих дней с момента начала работ</t>
  </si>
  <si>
    <t>2 (два) года</t>
  </si>
  <si>
    <t>274578e1-3367-44d0-a423-7540a6899bc8</t>
  </si>
  <si>
    <t>926265f7-c97d-4f52-ab25-d741a385c40d</t>
  </si>
  <si>
    <t>5c7fadd1-e67a-4cc5-862b-ee5b43e62af6</t>
  </si>
  <si>
    <t>349f053d-bcfd-46ba-96dd-8770f6620208</t>
  </si>
  <si>
    <t>ab6d014c-7f9a-4549-8dc0-d4eb6d52f454</t>
  </si>
  <si>
    <t>a2168c60-0820-4501-844b-19c490ed9a3c</t>
  </si>
  <si>
    <t>88954e44-f4b8-4067-9c59-744fad92700f</t>
  </si>
  <si>
    <t>db5169b1-b704-495b-9b1e-3f64742ce051</t>
  </si>
  <si>
    <t>aa4ff4de-da9f-4178-b3d4-3c38b5bf5b42</t>
  </si>
  <si>
    <t>66eaf783-850b-4ad2-8893-549c66d5ec9a</t>
  </si>
  <si>
    <t>e2b3bea7-6d00-45a0-a852-b79027bf2add</t>
  </si>
  <si>
    <t>08968397-6063-4f3f-ba90-3cdc6d2d0a33</t>
  </si>
  <si>
    <t>e4e986f8-64b7-4517-8c5d-454716ac8380</t>
  </si>
  <si>
    <t>b9f24bce-ecdc-4ea0-84cd-62e4cc7ebd5c</t>
  </si>
  <si>
    <t>538a5c03-f9ab-4ea9-88b0-1470611b5735</t>
  </si>
  <si>
    <t>d0f129d9-80a6-4c71-8db1-b6fab8b46569</t>
  </si>
  <si>
    <t>e6e9bba0-a3cb-44d3-9b49-1f151e4c7fed</t>
  </si>
  <si>
    <t>ab8f8a88-c5b2-437b-ac42-b5549c082c37</t>
  </si>
  <si>
    <t>c087fcd8-3bd3-450d-8577-cc76e482af6f</t>
  </si>
  <si>
    <t>b5cab0f9-1348-409f-9054-63ed3026c5f3</t>
  </si>
  <si>
    <t>b8fdbd52-322f-4372-aeb9-3af97eeb659d</t>
  </si>
  <si>
    <t>кс-2</t>
  </si>
  <si>
    <t>9008c503-baca-49a2-b550-26e32b81683f</t>
  </si>
  <si>
    <t>Инвестор:</t>
  </si>
  <si>
    <t>Заказчик:</t>
  </si>
  <si>
    <t>Подрядчик:</t>
  </si>
  <si>
    <t>Стройка:</t>
  </si>
  <si>
    <t>Объект:</t>
  </si>
  <si>
    <t>Номер</t>
  </si>
  <si>
    <t>по порядку</t>
  </si>
  <si>
    <t>по смете</t>
  </si>
  <si>
    <t>организация, адрес, телефон, факс</t>
  </si>
  <si>
    <t>наименование, адрес</t>
  </si>
  <si>
    <t xml:space="preserve">                                                                                                                            наименование</t>
  </si>
  <si>
    <t>АКТ</t>
  </si>
  <si>
    <t>О ПРИЁМКЕ ВЫПОЛНЕННЫХ РАБОТ</t>
  </si>
  <si>
    <t>Наименование работ</t>
  </si>
  <si>
    <t>Номер документа</t>
  </si>
  <si>
    <t xml:space="preserve">Сметная (договорная) стоимость в соответствии с договором подряда (субподряда) </t>
  </si>
  <si>
    <t>Номер единичной расценки</t>
  </si>
  <si>
    <t>Дата составления</t>
  </si>
  <si>
    <t>Унифицированная форма № КС- 2</t>
  </si>
  <si>
    <t>Утверждена постановлением Госкомстата России</t>
  </si>
  <si>
    <t>от 11.11.99 № 100</t>
  </si>
  <si>
    <t>Договор подряда (контракт)</t>
  </si>
  <si>
    <t>руб.</t>
  </si>
  <si>
    <t>Выполнено работ</t>
  </si>
  <si>
    <t>Количество</t>
  </si>
  <si>
    <t>Форма по ОКУД</t>
  </si>
  <si>
    <t>по ОКПО</t>
  </si>
  <si>
    <t>Вид деятельности по ОКВД</t>
  </si>
  <si>
    <t>номер</t>
  </si>
  <si>
    <t>дата</t>
  </si>
  <si>
    <t>Вид операции</t>
  </si>
  <si>
    <t>Отчётный период</t>
  </si>
  <si>
    <t>с</t>
  </si>
  <si>
    <t>Цена за единицу, руб.</t>
  </si>
  <si>
    <t>Код</t>
  </si>
  <si>
    <t>0322005</t>
  </si>
  <si>
    <t>по</t>
  </si>
  <si>
    <t>Стоимость, руб.</t>
  </si>
  <si>
    <t>Всего по Акту:</t>
  </si>
  <si>
    <t>Сдал:</t>
  </si>
  <si>
    <t>м.п.</t>
  </si>
  <si>
    <t>Принял:</t>
  </si>
  <si>
    <t/>
  </si>
  <si>
    <t>ЗАО "Заказчик", г. Москва, ул. Самая длинная, д.54, тел: 8 (495) 123-45-67</t>
  </si>
  <si>
    <t>23232321</t>
  </si>
  <si>
    <t>Генеральный директор ЗАО "Заказчик" __________________________ / Иванов И.И. /</t>
  </si>
  <si>
    <t>ООО РСК ДОММАСТЕР, 	453261, Башкортостан респ., г. Салават, ул. Уфимская, д. 37 к. А , тел: 89174806003</t>
  </si>
  <si>
    <t>61145824</t>
  </si>
  <si>
    <t>Генеральный директор ООО РСК ДОММАСТЕР __________________________ / Тимербулатов Зинур Динарович /</t>
  </si>
  <si>
    <t>Ремонтно отделочные работы, г. Москва, ул. Самая длинная, д.54</t>
  </si>
  <si>
    <t>Унифицированная форма № КС-3</t>
  </si>
  <si>
    <t>от 11 ноября 1999 г. № 100</t>
  </si>
  <si>
    <t>0322001</t>
  </si>
  <si>
    <t>Вид деятельности по ОКДП</t>
  </si>
  <si>
    <t>Отчетный период</t>
  </si>
  <si>
    <t>СПРАВКА</t>
  </si>
  <si>
    <t>О СТОИМОСТИ ВЫПОЛНЕННЫХ РАБОТ И ЗАТРАТ</t>
  </si>
  <si>
    <t>Номер по порядку</t>
  </si>
  <si>
    <t>Наименование пусковых комплексов, этапов, объектов, видов выполненных работ, оборудования, затрат</t>
  </si>
  <si>
    <t>Стоимость выполненных работ и затрат, руб.</t>
  </si>
  <si>
    <t>с начала проведения работ</t>
  </si>
  <si>
    <t>с начала года</t>
  </si>
  <si>
    <t>в том числе за отчетный период</t>
  </si>
  <si>
    <t>Всего работ и затрат, включаемых в стоимость работ</t>
  </si>
  <si>
    <t>в том числе:</t>
  </si>
  <si>
    <t>Итого</t>
  </si>
  <si>
    <t>Сумма НДС</t>
  </si>
  <si>
    <t>Всего с учетом НДС</t>
  </si>
  <si>
    <t>Заказчик (Генподрядчик)</t>
  </si>
  <si>
    <t>Подрядчик (Субподрядчик)</t>
  </si>
  <si>
    <t>М.П.</t>
  </si>
  <si>
    <t>кс-3</t>
  </si>
  <si>
    <t>5c44c4a5-dbed-4ce0-9be9-a817b84df6f6</t>
  </si>
  <si>
    <t>ЗАО "Заказчик", г. Москва, ул. Самая длинная, д.54, 8 (495) 123-45-67</t>
  </si>
  <si>
    <t>Генеральный директор ____________________ / Иванов И.И. /</t>
  </si>
  <si>
    <t>ООО РСК ДОММАСТЕР, 	453261, Башкортостан респ., г. Салават, ул. Уфимская, д. 37 к. А , 89174806003</t>
  </si>
  <si>
    <t>Генеральный директор ____________________ / Тимербулатов Зинур Динарович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</si>
</sst>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;[Red]\-#,##0.00"/>
    <numFmt numFmtId="166" formatCode="#,##0.00000;[Red]\-#,##0.00000"/>
  </numFmts>
  <fonts count="29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FFFF"/>
      <name val="Times New Roman"/>
      <family val="1"/>
      <charset val="204"/>
    </font>
    <font>
      <sz val="10"/>
      <color rgb="FFFFFFFF"/>
      <name val="Times New Roman"/>
      <family val="1"/>
      <charset val="204"/>
    </font>
    <font>
      <sz val="12"/>
      <color rgb="FF8B4513"/>
      <name val="Times New Roman"/>
      <family val="1"/>
      <charset val="204"/>
    </font>
    <font>
      <b/>
      <sz val="10"/>
      <color rgb="FF8B4513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rgb="FF808080"/>
      <name val="Times New Roman"/>
      <family val="1"/>
      <charset val="204"/>
    </font>
    <font>
      <b/>
      <sz val="12"/>
      <color rgb="FF000000"/>
      <name val="Calibri"/>
      <family val="2"/>
      <charset val="204"/>
      <scheme val="minor"/>
    </font>
    <font>
      <sz val="12"/>
      <color rgb="FF80808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u/>
      <sz val="12"/>
      <color theme="1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EFD6D5"/>
        <bgColor indexed="64"/>
      </patternFill>
    </fill>
    <fill>
      <patternFill patternType="solid">
        <fgColor rgb="FFDBDBDB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8" fillId="0" borderId="0" xfId="0" applyFont="1" applyAlignment="1">
      <alignment horizontal="center" vertical="center" wrapText="1"/>
    </xf>
    <xf numFmtId="0" fontId="1" fillId="4" borderId="10" xfId="0" applyFont="1" applyFill="1" applyBorder="1"/>
    <xf numFmtId="0" fontId="6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right" vertical="center"/>
    </xf>
    <xf numFmtId="165" fontId="1" fillId="3" borderId="6" xfId="0" applyNumberFormat="1" applyFont="1" applyFill="1" applyBorder="1" applyAlignment="1">
      <alignment horizontal="left" vertical="center" indent="1"/>
    </xf>
    <xf numFmtId="0" fontId="1" fillId="2" borderId="6" xfId="0" applyFont="1" applyFill="1" applyBorder="1"/>
    <xf numFmtId="0" fontId="8" fillId="2" borderId="6" xfId="0" applyFont="1" applyFill="1" applyBorder="1" applyAlignment="1">
      <alignment horizontal="right" vertical="center"/>
    </xf>
    <xf numFmtId="0" fontId="8" fillId="2" borderId="6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165" fontId="1" fillId="3" borderId="6" xfId="0" applyNumberFormat="1" applyFont="1" applyFill="1" applyBorder="1" applyAlignment="1">
      <alignment horizontal="right" vertical="center"/>
    </xf>
    <xf numFmtId="165" fontId="1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164" fontId="6" fillId="2" borderId="6" xfId="0" applyNumberFormat="1" applyFont="1" applyFill="1" applyBorder="1" applyAlignment="1">
      <alignment horizontal="center" vertical="center"/>
    </xf>
    <xf numFmtId="165" fontId="9" fillId="3" borderId="6" xfId="0" applyNumberFormat="1" applyFont="1" applyFill="1" applyBorder="1" applyAlignment="1">
      <alignment horizontal="right" vertical="center"/>
    </xf>
    <xf numFmtId="165" fontId="10" fillId="3" borderId="6" xfId="0" applyNumberFormat="1" applyFont="1" applyFill="1" applyBorder="1" applyAlignment="1">
      <alignment horizontal="right" vertical="center"/>
    </xf>
    <xf numFmtId="9" fontId="6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64" fontId="11" fillId="3" borderId="6" xfId="0" applyNumberFormat="1" applyFont="1" applyFill="1" applyBorder="1" applyAlignment="1">
      <alignment horizontal="right" vertical="center"/>
    </xf>
    <xf numFmtId="165" fontId="12" fillId="3" borderId="6" xfId="0" applyNumberFormat="1" applyFont="1" applyFill="1" applyBorder="1" applyAlignment="1">
      <alignment horizontal="right" vertical="center"/>
    </xf>
    <xf numFmtId="0" fontId="13" fillId="0" borderId="6" xfId="0" applyFont="1" applyBorder="1" applyAlignment="1">
      <alignment horizontal="center" vertical="center" wrapText="1"/>
    </xf>
    <xf numFmtId="0" fontId="1" fillId="4" borderId="6" xfId="0" applyFont="1" applyFill="1" applyBorder="1"/>
    <xf numFmtId="0" fontId="1" fillId="4" borderId="6" xfId="0" applyFont="1" applyFill="1" applyBorder="1"/>
    <xf numFmtId="0" fontId="8" fillId="4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49" fontId="3" fillId="0" borderId="0" xfId="0" applyNumberFormat="1" applyFont="1"/>
    <xf numFmtId="0" fontId="2" fillId="4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0" borderId="7" xfId="0" applyFont="1" applyFill="1" applyBorder="1"/>
    <xf numFmtId="0" fontId="16" fillId="0" borderId="0" xfId="0" applyFont="1" applyFill="1"/>
    <xf numFmtId="0" fontId="17" fillId="0" borderId="0" xfId="0" applyFont="1"/>
    <xf numFmtId="0" fontId="3" fillId="0" borderId="5" xfId="0" applyFont="1" applyBorder="1"/>
    <xf numFmtId="0" fontId="17" fillId="4" borderId="11" xfId="0" applyFont="1" applyFill="1" applyBorder="1"/>
    <xf numFmtId="0" fontId="14" fillId="0" borderId="5" xfId="0" applyFont="1" applyFill="1" applyBorder="1" applyAlignment="1">
      <alignment horizontal="right"/>
    </xf>
    <xf numFmtId="0" fontId="14" fillId="0" borderId="5" xfId="0" applyFont="1" applyFill="1" applyBorder="1" applyAlignment="1">
      <alignment horizontal="left"/>
    </xf>
    <xf numFmtId="0" fontId="17" fillId="0" borderId="5" xfId="0" applyFont="1" applyFill="1" applyBorder="1"/>
    <xf numFmtId="0" fontId="17" fillId="4" borderId="0" xfId="0" applyFont="1" applyFill="1" applyAlignment="1">
      <alignment horizontal="center"/>
    </xf>
    <xf numFmtId="165" fontId="17" fillId="0" borderId="14" xfId="0" applyNumberFormat="1" applyFont="1" applyBorder="1" applyAlignment="1">
      <alignment horizontal="right"/>
    </xf>
    <xf numFmtId="49" fontId="17" fillId="0" borderId="13" xfId="0" applyNumberFormat="1" applyFont="1" applyFill="1" applyBorder="1" applyAlignment="1">
      <alignment horizontal="left" vertical="top"/>
    </xf>
    <xf numFmtId="0" fontId="17" fillId="0" borderId="12" xfId="0" applyNumberFormat="1" applyFont="1" applyFill="1" applyBorder="1" applyAlignment="1">
      <alignment horizontal="left" vertical="top" wrapText="1"/>
    </xf>
    <xf numFmtId="0" fontId="17" fillId="0" borderId="12" xfId="0" applyNumberFormat="1" applyFont="1" applyFill="1" applyBorder="1" applyAlignment="1">
      <alignment horizontal="left"/>
    </xf>
    <xf numFmtId="165" fontId="17" fillId="0" borderId="12" xfId="0" applyNumberFormat="1" applyFont="1" applyFill="1" applyBorder="1" applyAlignment="1">
      <alignment horizontal="right"/>
    </xf>
    <xf numFmtId="165" fontId="17" fillId="0" borderId="14" xfId="0" applyNumberFormat="1" applyFont="1" applyFill="1" applyBorder="1" applyAlignment="1">
      <alignment horizontal="right"/>
    </xf>
    <xf numFmtId="165" fontId="5" fillId="0" borderId="12" xfId="0" applyNumberFormat="1" applyFont="1" applyFill="1" applyBorder="1" applyAlignment="1">
      <alignment horizontal="right"/>
    </xf>
    <xf numFmtId="0" fontId="5" fillId="0" borderId="13" xfId="0" applyNumberFormat="1" applyFont="1" applyFill="1" applyBorder="1" applyAlignment="1">
      <alignment horizontal="right"/>
    </xf>
    <xf numFmtId="165" fontId="5" fillId="0" borderId="13" xfId="0" applyNumberFormat="1" applyFont="1" applyFill="1" applyBorder="1" applyAlignment="1">
      <alignment horizontal="right"/>
    </xf>
    <xf numFmtId="166" fontId="5" fillId="0" borderId="12" xfId="0" applyNumberFormat="1" applyFont="1" applyFill="1" applyBorder="1" applyAlignment="1">
      <alignment horizontal="right"/>
    </xf>
    <xf numFmtId="1" fontId="5" fillId="0" borderId="12" xfId="0" applyNumberFormat="1" applyFont="1" applyFill="1" applyBorder="1" applyAlignment="1">
      <alignment horizontal="center"/>
    </xf>
    <xf numFmtId="165" fontId="1" fillId="0" borderId="0" xfId="0" applyNumberFormat="1" applyFont="1" applyAlignment="1">
      <alignment horizontal="right"/>
    </xf>
    <xf numFmtId="0" fontId="14" fillId="0" borderId="2" xfId="0" applyFont="1" applyBorder="1" applyAlignment="1">
      <alignment horizontal="left"/>
    </xf>
    <xf numFmtId="165" fontId="14" fillId="0" borderId="2" xfId="0" applyNumberFormat="1" applyFont="1" applyBorder="1" applyAlignment="1">
      <alignment horizontal="right"/>
    </xf>
    <xf numFmtId="0" fontId="14" fillId="0" borderId="2" xfId="0" applyFont="1" applyBorder="1" applyAlignment="1"/>
    <xf numFmtId="0" fontId="14" fillId="4" borderId="9" xfId="0" applyFont="1" applyFill="1" applyBorder="1" applyAlignment="1"/>
    <xf numFmtId="0" fontId="18" fillId="0" borderId="0" xfId="0" applyFont="1" applyBorder="1" applyAlignment="1">
      <alignment horizontal="left"/>
    </xf>
    <xf numFmtId="165" fontId="18" fillId="0" borderId="0" xfId="0" applyNumberFormat="1" applyFont="1" applyBorder="1" applyAlignment="1">
      <alignment horizontal="right"/>
    </xf>
    <xf numFmtId="0" fontId="18" fillId="0" borderId="0" xfId="0" applyFont="1" applyBorder="1" applyAlignment="1"/>
    <xf numFmtId="0" fontId="18" fillId="4" borderId="10" xfId="0" applyFont="1" applyFill="1" applyBorder="1" applyAlignment="1"/>
    <xf numFmtId="165" fontId="14" fillId="0" borderId="0" xfId="0" applyNumberFormat="1" applyFont="1" applyAlignment="1">
      <alignment horizontal="right"/>
    </xf>
    <xf numFmtId="0" fontId="18" fillId="0" borderId="0" xfId="0" applyFont="1"/>
    <xf numFmtId="165" fontId="18" fillId="0" borderId="0" xfId="0" applyNumberFormat="1" applyFont="1" applyAlignment="1">
      <alignment horizontal="right"/>
    </xf>
    <xf numFmtId="0" fontId="8" fillId="0" borderId="0" xfId="0" applyFont="1"/>
    <xf numFmtId="0" fontId="12" fillId="4" borderId="15" xfId="0" applyFont="1" applyFill="1" applyBorder="1" applyAlignment="1"/>
    <xf numFmtId="0" fontId="1" fillId="4" borderId="15" xfId="0" applyFont="1" applyFill="1" applyBorder="1"/>
    <xf numFmtId="0" fontId="8" fillId="0" borderId="0" xfId="0" applyFont="1" applyAlignment="1">
      <alignment horizontal="left"/>
    </xf>
    <xf numFmtId="165" fontId="1" fillId="3" borderId="3" xfId="0" applyNumberFormat="1" applyFont="1" applyFill="1" applyBorder="1" applyAlignment="1">
      <alignment horizontal="right" vertical="center"/>
    </xf>
    <xf numFmtId="165" fontId="1" fillId="3" borderId="16" xfId="0" applyNumberFormat="1" applyFont="1" applyFill="1" applyBorder="1" applyAlignment="1">
      <alignment horizontal="right" vertical="center"/>
    </xf>
    <xf numFmtId="165" fontId="9" fillId="3" borderId="3" xfId="0" applyNumberFormat="1" applyFont="1" applyFill="1" applyBorder="1" applyAlignment="1">
      <alignment horizontal="right" vertical="center"/>
    </xf>
    <xf numFmtId="165" fontId="9" fillId="3" borderId="16" xfId="0" applyNumberFormat="1" applyFont="1" applyFill="1" applyBorder="1" applyAlignment="1">
      <alignment horizontal="right" vertical="center"/>
    </xf>
    <xf numFmtId="0" fontId="17" fillId="0" borderId="0" xfId="0" applyFont="1" applyFill="1" applyBorder="1" applyAlignment="1">
      <alignment horizontal="left"/>
    </xf>
    <xf numFmtId="0" fontId="17" fillId="0" borderId="0" xfId="0" applyFont="1" applyFill="1" applyBorder="1"/>
    <xf numFmtId="165" fontId="17" fillId="0" borderId="0" xfId="0" applyNumberFormat="1" applyFont="1" applyFill="1" applyBorder="1" applyAlignment="1">
      <alignment horizontal="right"/>
    </xf>
    <xf numFmtId="165" fontId="17" fillId="0" borderId="7" xfId="0" applyNumberFormat="1" applyFont="1" applyFill="1" applyBorder="1" applyAlignment="1">
      <alignment horizontal="right"/>
    </xf>
    <xf numFmtId="0" fontId="14" fillId="0" borderId="0" xfId="0" applyFont="1" applyFill="1" applyBorder="1" applyAlignment="1">
      <alignment horizontal="left"/>
    </xf>
    <xf numFmtId="165" fontId="14" fillId="0" borderId="0" xfId="0" applyNumberFormat="1" applyFont="1" applyFill="1" applyBorder="1" applyAlignment="1">
      <alignment horizontal="right"/>
    </xf>
    <xf numFmtId="165" fontId="14" fillId="0" borderId="7" xfId="0" applyNumberFormat="1" applyFont="1" applyFill="1" applyBorder="1" applyAlignment="1">
      <alignment horizontal="right"/>
    </xf>
    <xf numFmtId="0" fontId="14" fillId="0" borderId="0" xfId="0" applyFont="1" applyFill="1" applyBorder="1" applyAlignment="1"/>
    <xf numFmtId="0" fontId="19" fillId="4" borderId="10" xfId="0" applyFont="1" applyFill="1" applyBorder="1" applyAlignment="1"/>
    <xf numFmtId="0" fontId="18" fillId="0" borderId="0" xfId="0" applyFont="1" applyFill="1" applyBorder="1" applyAlignment="1">
      <alignment horizontal="left"/>
    </xf>
    <xf numFmtId="165" fontId="18" fillId="0" borderId="0" xfId="0" applyNumberFormat="1" applyFont="1" applyFill="1" applyBorder="1" applyAlignment="1">
      <alignment horizontal="right"/>
    </xf>
    <xf numFmtId="165" fontId="18" fillId="0" borderId="7" xfId="0" applyNumberFormat="1" applyFont="1" applyFill="1" applyBorder="1" applyAlignment="1">
      <alignment horizontal="right"/>
    </xf>
    <xf numFmtId="0" fontId="18" fillId="0" borderId="0" xfId="0" applyFont="1" applyFill="1" applyBorder="1" applyAlignment="1"/>
    <xf numFmtId="0" fontId="20" fillId="4" borderId="10" xfId="0" applyFont="1" applyFill="1" applyBorder="1" applyAlignment="1"/>
    <xf numFmtId="0" fontId="21" fillId="0" borderId="0" xfId="0" applyFont="1"/>
    <xf numFmtId="0" fontId="21" fillId="4" borderId="10" xfId="0" applyFont="1" applyFill="1" applyBorder="1"/>
    <xf numFmtId="9" fontId="5" fillId="0" borderId="0" xfId="0" applyNumberFormat="1" applyFont="1" applyFill="1" applyBorder="1" applyAlignment="1">
      <alignment horizontal="center"/>
    </xf>
    <xf numFmtId="0" fontId="17" fillId="0" borderId="0" xfId="0" applyFont="1" applyFill="1" applyBorder="1" applyAlignment="1"/>
    <xf numFmtId="0" fontId="22" fillId="4" borderId="10" xfId="0" applyFont="1" applyFill="1" applyBorder="1" applyAlignment="1"/>
    <xf numFmtId="0" fontId="17" fillId="0" borderId="7" xfId="0" applyFont="1" applyFill="1" applyBorder="1" applyAlignment="1"/>
    <xf numFmtId="0" fontId="14" fillId="0" borderId="7" xfId="0" applyFont="1" applyFill="1" applyBorder="1" applyAlignment="1"/>
    <xf numFmtId="0" fontId="21" fillId="4" borderId="8" xfId="0" applyFont="1" applyFill="1" applyBorder="1"/>
    <xf numFmtId="0" fontId="22" fillId="0" borderId="0" xfId="0" applyFont="1"/>
    <xf numFmtId="0" fontId="2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9" fontId="14" fillId="0" borderId="0" xfId="0" applyNumberFormat="1" applyFont="1" applyFill="1" applyBorder="1" applyAlignment="1">
      <alignment horizontal="left"/>
    </xf>
    <xf numFmtId="0" fontId="1" fillId="0" borderId="5" xfId="0" applyFont="1" applyFill="1" applyBorder="1"/>
    <xf numFmtId="0" fontId="21" fillId="0" borderId="5" xfId="0" applyFont="1" applyBorder="1"/>
    <xf numFmtId="0" fontId="1" fillId="0" borderId="8" xfId="0" applyFont="1" applyFill="1" applyBorder="1"/>
    <xf numFmtId="0" fontId="24" fillId="0" borderId="0" xfId="0" applyFont="1"/>
    <xf numFmtId="0" fontId="1" fillId="0" borderId="0" xfId="0" applyFont="1" applyAlignment="1">
      <alignment horizontal="left" vertical="top"/>
    </xf>
    <xf numFmtId="0" fontId="25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165" fontId="23" fillId="0" borderId="0" xfId="0" applyNumberFormat="1" applyFont="1" applyAlignment="1">
      <alignment horizontal="right"/>
    </xf>
    <xf numFmtId="0" fontId="1" fillId="0" borderId="6" xfId="0" applyFont="1" applyBorder="1" applyAlignment="1">
      <alignment horizontal="center" vertical="center" wrapText="1"/>
    </xf>
    <xf numFmtId="14" fontId="3" fillId="0" borderId="0" xfId="0" applyNumberFormat="1" applyFont="1"/>
    <xf numFmtId="19" fontId="3" fillId="0" borderId="0" xfId="0" applyNumberFormat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49" fontId="17" fillId="0" borderId="17" xfId="0" applyNumberFormat="1" applyFont="1" applyFill="1" applyBorder="1" applyAlignment="1">
      <alignment horizontal="left" vertical="top"/>
    </xf>
    <xf numFmtId="0" fontId="17" fillId="0" borderId="18" xfId="0" applyNumberFormat="1" applyFont="1" applyFill="1" applyBorder="1" applyAlignment="1">
      <alignment horizontal="left" vertical="top" wrapText="1"/>
    </xf>
    <xf numFmtId="0" fontId="17" fillId="0" borderId="18" xfId="0" applyNumberFormat="1" applyFont="1" applyFill="1" applyBorder="1" applyAlignment="1">
      <alignment horizontal="left"/>
    </xf>
    <xf numFmtId="165" fontId="5" fillId="0" borderId="18" xfId="0" applyNumberFormat="1" applyFont="1" applyFill="1" applyBorder="1" applyAlignment="1">
      <alignment horizontal="right"/>
    </xf>
    <xf numFmtId="165" fontId="17" fillId="0" borderId="18" xfId="0" applyNumberFormat="1" applyFont="1" applyFill="1" applyBorder="1" applyAlignment="1">
      <alignment horizontal="right"/>
    </xf>
    <xf numFmtId="165" fontId="17" fillId="0" borderId="19" xfId="0" applyNumberFormat="1" applyFont="1" applyFill="1" applyBorder="1" applyAlignment="1">
      <alignment horizontal="right"/>
    </xf>
    <xf numFmtId="49" fontId="17" fillId="0" borderId="20" xfId="0" applyNumberFormat="1" applyFont="1" applyFill="1" applyBorder="1" applyAlignment="1">
      <alignment horizontal="left" vertical="top"/>
    </xf>
    <xf numFmtId="0" fontId="17" fillId="0" borderId="21" xfId="0" applyNumberFormat="1" applyFont="1" applyFill="1" applyBorder="1" applyAlignment="1">
      <alignment horizontal="left" vertical="top" wrapText="1"/>
    </xf>
    <xf numFmtId="0" fontId="17" fillId="0" borderId="21" xfId="0" applyNumberFormat="1" applyFont="1" applyFill="1" applyBorder="1" applyAlignment="1">
      <alignment horizontal="left"/>
    </xf>
    <xf numFmtId="165" fontId="5" fillId="0" borderId="21" xfId="0" applyNumberFormat="1" applyFont="1" applyFill="1" applyBorder="1" applyAlignment="1">
      <alignment horizontal="right"/>
    </xf>
    <xf numFmtId="165" fontId="17" fillId="0" borderId="21" xfId="0" applyNumberFormat="1" applyFont="1" applyFill="1" applyBorder="1" applyAlignment="1">
      <alignment horizontal="right"/>
    </xf>
    <xf numFmtId="165" fontId="17" fillId="0" borderId="22" xfId="0" applyNumberFormat="1" applyFont="1" applyFill="1" applyBorder="1" applyAlignment="1">
      <alignment horizontal="right"/>
    </xf>
    <xf numFmtId="0" fontId="18" fillId="0" borderId="0" xfId="0" applyFont="1" applyAlignment="1">
      <alignment horizontal="left" vertical="top"/>
    </xf>
    <xf numFmtId="165" fontId="18" fillId="0" borderId="0" xfId="0" applyNumberFormat="1" applyFont="1" applyAlignment="1">
      <alignment horizontal="right" vertical="top"/>
    </xf>
    <xf numFmtId="9" fontId="1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horizontal="left" vertical="top" wrapText="1"/>
    </xf>
    <xf numFmtId="0" fontId="1" fillId="0" borderId="2" xfId="0" applyFont="1" applyBorder="1" applyAlignment="1"/>
    <xf numFmtId="0" fontId="26" fillId="0" borderId="2" xfId="0" applyFont="1" applyBorder="1" applyAlignment="1">
      <alignment horizontal="center" vertical="top"/>
    </xf>
    <xf numFmtId="0" fontId="26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right"/>
    </xf>
    <xf numFmtId="0" fontId="1" fillId="0" borderId="9" xfId="0" applyFont="1" applyBorder="1" applyAlignment="1">
      <alignment horizontal="center" vertical="center" wrapText="1"/>
    </xf>
    <xf numFmtId="49" fontId="1" fillId="0" borderId="31" xfId="0" applyNumberFormat="1" applyFont="1" applyBorder="1" applyAlignment="1">
      <alignment horizontal="center" vertical="center" wrapText="1"/>
    </xf>
    <xf numFmtId="49" fontId="1" fillId="0" borderId="31" xfId="0" applyNumberFormat="1" applyFont="1" applyBorder="1" applyAlignment="1">
      <alignment horizontal="center" vertical="center" wrapText="1"/>
    </xf>
    <xf numFmtId="14" fontId="1" fillId="0" borderId="31" xfId="0" applyNumberFormat="1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14" fontId="1" fillId="0" borderId="33" xfId="0" applyNumberFormat="1" applyFont="1" applyBorder="1" applyAlignment="1">
      <alignment horizontal="center" vertical="center" wrapText="1"/>
    </xf>
    <xf numFmtId="14" fontId="1" fillId="0" borderId="2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1" fillId="0" borderId="31" xfId="0" applyNumberFormat="1" applyFont="1" applyBorder="1" applyAlignment="1">
      <alignment horizontal="center" wrapText="1"/>
    </xf>
    <xf numFmtId="49" fontId="1" fillId="0" borderId="30" xfId="0" applyNumberFormat="1" applyFont="1" applyBorder="1" applyAlignment="1">
      <alignment horizontal="center" vertical="center" wrapText="1"/>
    </xf>
    <xf numFmtId="165" fontId="8" fillId="0" borderId="0" xfId="0" applyNumberFormat="1" applyFont="1"/>
    <xf numFmtId="0" fontId="17" fillId="0" borderId="18" xfId="0" applyFont="1" applyBorder="1"/>
    <xf numFmtId="0" fontId="17" fillId="0" borderId="18" xfId="0" applyFont="1" applyBorder="1" applyAlignment="1">
      <alignment vertical="top" wrapText="1"/>
    </xf>
    <xf numFmtId="0" fontId="17" fillId="0" borderId="12" xfId="0" applyFont="1" applyBorder="1"/>
    <xf numFmtId="0" fontId="17" fillId="0" borderId="12" xfId="0" applyFont="1" applyBorder="1" applyAlignment="1">
      <alignment vertical="top" wrapText="1"/>
    </xf>
    <xf numFmtId="0" fontId="17" fillId="0" borderId="21" xfId="0" applyFont="1" applyBorder="1"/>
    <xf numFmtId="0" fontId="17" fillId="0" borderId="21" xfId="0" applyFont="1" applyBorder="1" applyAlignment="1">
      <alignment vertical="top" wrapText="1"/>
    </xf>
    <xf numFmtId="49" fontId="17" fillId="0" borderId="17" xfId="0" applyNumberFormat="1" applyFont="1" applyBorder="1" applyAlignment="1">
      <alignment vertical="top"/>
    </xf>
    <xf numFmtId="49" fontId="17" fillId="0" borderId="18" xfId="0" applyNumberFormat="1" applyFont="1" applyBorder="1" applyAlignment="1">
      <alignment vertical="top"/>
    </xf>
    <xf numFmtId="49" fontId="17" fillId="0" borderId="13" xfId="0" applyNumberFormat="1" applyFont="1" applyBorder="1" applyAlignment="1">
      <alignment vertical="top"/>
    </xf>
    <xf numFmtId="49" fontId="17" fillId="0" borderId="12" xfId="0" applyNumberFormat="1" applyFont="1" applyBorder="1" applyAlignment="1">
      <alignment vertical="top"/>
    </xf>
    <xf numFmtId="49" fontId="17" fillId="0" borderId="20" xfId="0" applyNumberFormat="1" applyFont="1" applyBorder="1" applyAlignment="1">
      <alignment vertical="top"/>
    </xf>
    <xf numFmtId="49" fontId="17" fillId="0" borderId="21" xfId="0" applyNumberFormat="1" applyFont="1" applyBorder="1" applyAlignment="1">
      <alignment vertical="top"/>
    </xf>
    <xf numFmtId="165" fontId="17" fillId="0" borderId="19" xfId="0" applyNumberFormat="1" applyFont="1" applyBorder="1" applyAlignment="1">
      <alignment horizontal="right"/>
    </xf>
    <xf numFmtId="165" fontId="17" fillId="0" borderId="22" xfId="0" applyNumberFormat="1" applyFont="1" applyBorder="1" applyAlignment="1">
      <alignment horizontal="right"/>
    </xf>
    <xf numFmtId="165" fontId="5" fillId="0" borderId="18" xfId="0" applyNumberFormat="1" applyFont="1" applyBorder="1" applyAlignment="1">
      <alignment horizontal="right"/>
    </xf>
    <xf numFmtId="165" fontId="5" fillId="0" borderId="12" xfId="0" applyNumberFormat="1" applyFont="1" applyBorder="1" applyAlignment="1">
      <alignment horizontal="right"/>
    </xf>
    <xf numFmtId="165" fontId="5" fillId="0" borderId="21" xfId="0" applyNumberFormat="1" applyFont="1" applyBorder="1" applyAlignment="1">
      <alignment horizontal="right"/>
    </xf>
    <xf numFmtId="0" fontId="26" fillId="0" borderId="0" xfId="0" applyFont="1" applyAlignment="1">
      <alignment horizontal="right"/>
    </xf>
    <xf numFmtId="0" fontId="2" fillId="0" borderId="0" xfId="0" applyFont="1" applyAlignment="1"/>
    <xf numFmtId="49" fontId="2" fillId="0" borderId="6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9" xfId="0" applyFont="1" applyBorder="1" applyAlignment="1">
      <alignment horizontal="center"/>
    </xf>
    <xf numFmtId="49" fontId="2" fillId="0" borderId="23" xfId="0" applyNumberFormat="1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49" fontId="2" fillId="0" borderId="27" xfId="0" applyNumberFormat="1" applyFont="1" applyBorder="1" applyAlignment="1">
      <alignment horizontal="center"/>
    </xf>
    <xf numFmtId="49" fontId="2" fillId="0" borderId="28" xfId="0" applyNumberFormat="1" applyFont="1" applyBorder="1" applyAlignment="1">
      <alignment horizontal="center"/>
    </xf>
    <xf numFmtId="14" fontId="2" fillId="0" borderId="28" xfId="0" applyNumberFormat="1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49" fontId="2" fillId="0" borderId="38" xfId="0" applyNumberFormat="1" applyFont="1" applyBorder="1" applyAlignment="1">
      <alignment horizontal="center"/>
    </xf>
    <xf numFmtId="49" fontId="2" fillId="0" borderId="39" xfId="0" applyNumberFormat="1" applyFont="1" applyBorder="1" applyAlignment="1">
      <alignment horizontal="center"/>
    </xf>
    <xf numFmtId="14" fontId="2" fillId="0" borderId="39" xfId="0" applyNumberFormat="1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34" xfId="0" applyFont="1" applyBorder="1" applyAlignment="1">
      <alignment horizontal="right"/>
    </xf>
    <xf numFmtId="0" fontId="2" fillId="0" borderId="35" xfId="0" applyFont="1" applyBorder="1" applyAlignment="1">
      <alignment horizontal="right"/>
    </xf>
    <xf numFmtId="0" fontId="2" fillId="0" borderId="5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14" fontId="2" fillId="0" borderId="24" xfId="0" applyNumberFormat="1" applyFont="1" applyBorder="1" applyAlignment="1">
      <alignment horizontal="center" vertical="center" wrapText="1"/>
    </xf>
    <xf numFmtId="14" fontId="2" fillId="0" borderId="26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right"/>
    </xf>
    <xf numFmtId="0" fontId="28" fillId="0" borderId="0" xfId="0" applyFont="1" applyAlignment="1">
      <alignment horizontal="center"/>
    </xf>
    <xf numFmtId="165" fontId="2" fillId="0" borderId="6" xfId="0" applyNumberFormat="1" applyFont="1" applyBorder="1" applyAlignment="1">
      <alignment horizontal="right" wrapText="1"/>
    </xf>
    <xf numFmtId="165" fontId="28" fillId="0" borderId="6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center" vertical="center" wrapText="1"/>
    </xf>
    <xf numFmtId="165" fontId="28" fillId="0" borderId="23" xfId="0" applyNumberFormat="1" applyFont="1" applyBorder="1" applyAlignment="1">
      <alignment horizontal="right" wrapText="1"/>
    </xf>
    <xf numFmtId="0" fontId="2" fillId="0" borderId="25" xfId="0" applyFont="1" applyBorder="1" applyAlignment="1">
      <alignment horizontal="center" vertical="top" wrapText="1"/>
    </xf>
    <xf numFmtId="165" fontId="2" fillId="0" borderId="25" xfId="0" applyNumberFormat="1" applyFont="1" applyBorder="1" applyAlignment="1">
      <alignment horizontal="right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top" wrapText="1"/>
    </xf>
    <xf numFmtId="0" fontId="2" fillId="0" borderId="29" xfId="0" applyFont="1" applyBorder="1" applyAlignment="1">
      <alignment horizontal="center" vertical="top" wrapText="1"/>
    </xf>
    <xf numFmtId="165" fontId="28" fillId="0" borderId="38" xfId="0" applyNumberFormat="1" applyFont="1" applyBorder="1" applyAlignment="1">
      <alignment horizontal="right" wrapText="1"/>
    </xf>
    <xf numFmtId="165" fontId="28" fillId="0" borderId="39" xfId="0" applyNumberFormat="1" applyFont="1" applyBorder="1" applyAlignment="1">
      <alignment horizontal="right" wrapText="1"/>
    </xf>
    <xf numFmtId="0" fontId="2" fillId="0" borderId="39" xfId="0" applyFont="1" applyBorder="1" applyAlignment="1">
      <alignment horizontal="center" vertical="top" wrapText="1"/>
    </xf>
    <xf numFmtId="0" fontId="2" fillId="0" borderId="40" xfId="0" applyFont="1" applyBorder="1" applyAlignment="1">
      <alignment horizontal="center" vertical="top" wrapText="1"/>
    </xf>
    <xf numFmtId="165" fontId="2" fillId="0" borderId="6" xfId="0" applyNumberFormat="1" applyFont="1" applyBorder="1" applyAlignment="1">
      <alignment horizontal="right"/>
    </xf>
    <xf numFmtId="165" fontId="28" fillId="0" borderId="6" xfId="0" applyNumberFormat="1" applyFont="1" applyBorder="1" applyAlignment="1">
      <alignment horizontal="right"/>
    </xf>
    <xf numFmtId="49" fontId="2" fillId="0" borderId="0" xfId="0" applyNumberFormat="1" applyFont="1"/>
    <xf numFmtId="49" fontId="4" fillId="0" borderId="0" xfId="0" applyNumberFormat="1" applyFont="1"/>
    <xf numFmtId="9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/>
    <xf numFmtId="165" fontId="2" fillId="0" borderId="11" xfId="0" applyNumberFormat="1" applyFont="1" applyBorder="1" applyAlignment="1">
      <alignment horizontal="right"/>
    </xf>
    <xf numFmtId="49" fontId="2" fillId="0" borderId="6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9D4D-73AC-45CA-82F4-28FFD193C586}">
  <sheetPr>
    <tabColor rgb="FFBC0000"/>
    <pageSetUpPr fitToPage="1"/>
  </sheetPr>
  <dimension ref="A1:HZ45"/>
  <sheetViews>
    <sheetView showGridLines="0" zoomScaleNormal="100" workbookViewId="0">
      <pane xSplit="10" ySplit="7" topLeftCell="K8" activePane="bottomRight" state="frozenSplit"/>
      <selection pane="topRight" activeCell="K1" sqref="K1"/>
      <selection pane="bottomLeft" activeCell="A8" sqref="A8"/>
      <selection pane="bottomRight"/>
    </sheetView>
  </sheetViews>
  <sheetFormatPr defaultRowHeight="15.75" x14ac:dyDescent="0.25"/>
  <cols>
    <col min="1" max="1" width="5.85546875" style="1" customWidth="1"/>
    <col min="2" max="2" width="59.140625" style="1" customWidth="1"/>
    <col min="3" max="3" width="8.28515625" style="1" customWidth="1"/>
    <col min="4" max="4" width="11.28515625" style="1" customWidth="1"/>
    <col min="5" max="5" width="15.7109375" style="1" customWidth="1"/>
    <col min="6" max="6" width="16.7109375" style="1" customWidth="1"/>
    <col min="7" max="7" width="4.140625" style="1" customWidth="1"/>
    <col min="8" max="8" width="12.28515625" style="1" customWidth="1"/>
    <col min="9" max="10" width="16.7109375" style="1" customWidth="1"/>
    <col min="11" max="11" width="4.7109375" style="1" customWidth="1"/>
    <col min="12" max="15" width="32.7109375" style="1" customWidth="1"/>
    <col min="16" max="18" width="9.140625" style="3"/>
    <col min="19" max="20" width="12.7109375" style="3" customWidth="1"/>
    <col min="21" max="21" width="6.7109375" style="3" customWidth="1"/>
    <col min="22" max="22" width="0" style="3" hidden="1" customWidth="1"/>
    <col min="23" max="25" width="12.7109375" style="3" customWidth="1"/>
    <col min="26" max="234" width="9.140625" style="3"/>
    <col min="235" max="16384" width="9.140625" style="1"/>
  </cols>
  <sheetData>
    <row r="1" spans="1:234" x14ac:dyDescent="0.25">
      <c r="A1" s="8">
        <v>1.8</v>
      </c>
      <c r="B1" s="9" t="s">
        <v>3</v>
      </c>
      <c r="C1" s="10" t="s">
        <v>33</v>
      </c>
      <c r="D1" s="10"/>
      <c r="E1" s="11">
        <f>ItogoWork</f>
        <v>28.64</v>
      </c>
      <c r="F1" s="12"/>
      <c r="G1" s="13" t="s">
        <v>4</v>
      </c>
      <c r="H1" s="13"/>
      <c r="I1" s="14" t="s">
        <v>5</v>
      </c>
      <c r="J1" s="14" t="s">
        <v>6</v>
      </c>
      <c r="P1" s="3" t="s">
        <v>7</v>
      </c>
      <c r="Q1" s="3" t="str">
        <f>DefName</f>
        <v>Ремонтно отделочные работы</v>
      </c>
      <c r="GR1" s="3" t="s">
        <v>0</v>
      </c>
      <c r="GS1" s="37" t="s">
        <v>2</v>
      </c>
      <c r="GV1" s="3">
        <v>1</v>
      </c>
      <c r="GW1" s="3" t="s">
        <v>39</v>
      </c>
    </row>
    <row r="2" spans="1:234" x14ac:dyDescent="0.25">
      <c r="A2" s="8">
        <v>1.04</v>
      </c>
      <c r="B2" s="9" t="s">
        <v>8</v>
      </c>
      <c r="C2" s="10" t="s">
        <v>34</v>
      </c>
      <c r="D2" s="10"/>
      <c r="E2" s="11">
        <f>ItogoMassaMater</f>
        <v>0</v>
      </c>
      <c r="F2" s="15" t="s">
        <v>9</v>
      </c>
      <c r="G2" s="77">
        <f>ItogoStoimostRabot</f>
        <v>82848.600000000006</v>
      </c>
      <c r="H2" s="78"/>
      <c r="I2" s="17">
        <f>ItogoStoimostMaterialov</f>
        <v>0</v>
      </c>
      <c r="J2" s="18">
        <f>VsegoPoSmete</f>
        <v>82848.600000000006</v>
      </c>
      <c r="P2" s="3" t="s">
        <v>10</v>
      </c>
    </row>
    <row r="3" spans="1:234" x14ac:dyDescent="0.25">
      <c r="A3" s="19">
        <v>0</v>
      </c>
      <c r="B3" s="9" t="s">
        <v>11</v>
      </c>
      <c r="C3" s="10" t="s">
        <v>35</v>
      </c>
      <c r="D3" s="10"/>
      <c r="E3" s="11">
        <f>ItogoMassaMusora</f>
        <v>2.9699999999999998</v>
      </c>
      <c r="F3" s="15" t="s">
        <v>12</v>
      </c>
      <c r="G3" s="79">
        <f>ItogoPlanStoimostRabot</f>
        <v>46027</v>
      </c>
      <c r="H3" s="80"/>
      <c r="I3" s="20">
        <f>ItogoPlanStoimostMater</f>
        <v>0</v>
      </c>
      <c r="J3" s="21">
        <f>ItogoPoDefektovke</f>
        <v>48328.35</v>
      </c>
      <c r="P3" s="3" t="s">
        <v>10</v>
      </c>
      <c r="GR3" s="3" t="s">
        <v>1</v>
      </c>
    </row>
    <row r="4" spans="1:234" x14ac:dyDescent="0.25">
      <c r="A4" s="22">
        <v>0</v>
      </c>
      <c r="B4" s="9" t="s">
        <v>13</v>
      </c>
      <c r="C4" s="23" t="s">
        <v>36</v>
      </c>
      <c r="D4" s="23"/>
      <c r="E4" s="24" t="s">
        <v>37</v>
      </c>
      <c r="F4" s="15" t="s">
        <v>14</v>
      </c>
      <c r="G4" s="16"/>
      <c r="H4" s="16"/>
      <c r="I4" s="25">
        <f>IF(SmStoimost=0,0,_xlfn.SINGLE(УЧП)/SmStoimost)</f>
        <v>0.41666666666666663</v>
      </c>
      <c r="J4" s="26">
        <f>ROUND(SmStoimost-PlanStoimost-SmStoimost*ЛНИ-(SmStoimost-PlanStMater)*ВНС,2)</f>
        <v>34520.25</v>
      </c>
      <c r="P4" s="3" t="s">
        <v>10</v>
      </c>
      <c r="GR4" s="3">
        <v>1</v>
      </c>
    </row>
    <row r="5" spans="1:234" ht="20.25" x14ac:dyDescent="0.25">
      <c r="A5" s="27" t="s">
        <v>38</v>
      </c>
      <c r="B5" s="27"/>
      <c r="C5" s="27"/>
      <c r="D5" s="27"/>
      <c r="E5" s="27"/>
      <c r="F5" s="27"/>
      <c r="G5" s="28"/>
      <c r="H5" s="29"/>
      <c r="I5" s="30" t="s">
        <v>15</v>
      </c>
      <c r="J5" s="30"/>
      <c r="P5" s="3" t="s">
        <v>16</v>
      </c>
      <c r="S5" s="35" t="s">
        <v>17</v>
      </c>
      <c r="T5" s="35" t="s">
        <v>18</v>
      </c>
      <c r="U5" s="35" t="s">
        <v>19</v>
      </c>
      <c r="V5" s="35"/>
      <c r="W5" s="35" t="s">
        <v>20</v>
      </c>
      <c r="X5" s="35" t="s">
        <v>21</v>
      </c>
      <c r="Y5" s="35" t="s">
        <v>22</v>
      </c>
    </row>
    <row r="6" spans="1:234" ht="31.5" x14ac:dyDescent="0.25">
      <c r="A6" s="31" t="s">
        <v>23</v>
      </c>
      <c r="B6" s="31" t="s">
        <v>24</v>
      </c>
      <c r="C6" s="31" t="s">
        <v>25</v>
      </c>
      <c r="D6" s="31" t="s">
        <v>26</v>
      </c>
      <c r="E6" s="31" t="s">
        <v>27</v>
      </c>
      <c r="F6" s="31" t="s">
        <v>28</v>
      </c>
      <c r="G6" s="30"/>
      <c r="H6" s="32" t="s">
        <v>29</v>
      </c>
      <c r="I6" s="32" t="s">
        <v>30</v>
      </c>
      <c r="J6" s="32" t="s">
        <v>31</v>
      </c>
      <c r="P6" s="3" t="s">
        <v>32</v>
      </c>
      <c r="S6" s="35"/>
      <c r="T6" s="35"/>
      <c r="U6" s="35"/>
      <c r="V6" s="35"/>
      <c r="W6" s="35"/>
      <c r="X6" s="35"/>
      <c r="Y6" s="35"/>
    </row>
    <row r="7" spans="1:234" s="2" customFormat="1" ht="12.75" x14ac:dyDescent="0.2">
      <c r="A7" s="33">
        <v>1</v>
      </c>
      <c r="B7" s="33">
        <v>2</v>
      </c>
      <c r="C7" s="33">
        <v>3</v>
      </c>
      <c r="D7" s="33">
        <v>4</v>
      </c>
      <c r="E7" s="33">
        <v>5</v>
      </c>
      <c r="F7" s="33">
        <v>6</v>
      </c>
      <c r="G7" s="39"/>
      <c r="H7" s="34"/>
      <c r="I7" s="34">
        <v>5</v>
      </c>
      <c r="J7" s="38">
        <v>6</v>
      </c>
      <c r="P7" s="4" t="s">
        <v>32</v>
      </c>
      <c r="Q7" s="4"/>
      <c r="R7" s="4"/>
      <c r="S7" s="36">
        <v>7</v>
      </c>
      <c r="T7" s="36">
        <v>8</v>
      </c>
      <c r="U7" s="36">
        <v>9</v>
      </c>
      <c r="V7" s="36"/>
      <c r="W7" s="36">
        <v>10</v>
      </c>
      <c r="X7" s="36">
        <v>11</v>
      </c>
      <c r="Y7" s="36">
        <v>12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</row>
    <row r="8" spans="1:234" x14ac:dyDescent="0.25">
      <c r="A8" s="40"/>
      <c r="B8" s="40"/>
      <c r="C8" s="40"/>
      <c r="D8" s="40"/>
      <c r="E8" s="40"/>
      <c r="F8" s="40"/>
      <c r="G8" s="7"/>
      <c r="H8" s="40"/>
      <c r="I8" s="40"/>
      <c r="J8" s="41"/>
      <c r="L8" s="42"/>
      <c r="P8" s="3" t="s">
        <v>40</v>
      </c>
    </row>
    <row r="9" spans="1:234" x14ac:dyDescent="0.25">
      <c r="A9" s="46">
        <v>1</v>
      </c>
      <c r="B9" s="47" t="s">
        <v>42</v>
      </c>
      <c r="C9" s="48"/>
      <c r="D9" s="48"/>
      <c r="E9" s="48"/>
      <c r="F9" s="48"/>
      <c r="G9" s="45"/>
      <c r="H9" s="48"/>
      <c r="I9" s="48"/>
      <c r="J9" s="48"/>
      <c r="L9" s="42"/>
      <c r="P9" s="3" t="s">
        <v>41</v>
      </c>
      <c r="S9" s="44"/>
      <c r="T9" s="44"/>
      <c r="U9" s="44"/>
      <c r="V9" s="44"/>
      <c r="W9" s="44"/>
      <c r="X9" s="44"/>
      <c r="Y9" s="44"/>
    </row>
    <row r="10" spans="1:234" hidden="1" x14ac:dyDescent="0.25">
      <c r="P10" s="3" t="s">
        <v>43</v>
      </c>
    </row>
    <row r="11" spans="1:234" ht="31.5" x14ac:dyDescent="0.25">
      <c r="A11" s="51">
        <v>1</v>
      </c>
      <c r="B11" s="52" t="s">
        <v>45</v>
      </c>
      <c r="C11" s="53" t="s">
        <v>46</v>
      </c>
      <c r="D11" s="56">
        <v>79</v>
      </c>
      <c r="E11" s="56">
        <v>33</v>
      </c>
      <c r="F11" s="55">
        <f>ROUND(E11*ROUND(D11,2),2)</f>
        <v>2607</v>
      </c>
      <c r="G11" s="49" t="s">
        <v>47</v>
      </c>
      <c r="H11" s="57">
        <f>KoeffForPrice</f>
        <v>1.8</v>
      </c>
      <c r="I11" s="54">
        <f>ROUND(E11*H11,2)</f>
        <v>59.4</v>
      </c>
      <c r="J11" s="55">
        <f>ROUND(I11*ROUND(D11,2),2)</f>
        <v>4692.6000000000004</v>
      </c>
      <c r="L11" s="42"/>
      <c r="P11" s="3" t="s">
        <v>44</v>
      </c>
      <c r="Q11" s="3" t="s">
        <v>48</v>
      </c>
      <c r="S11" s="58">
        <v>0.20000000298023224</v>
      </c>
      <c r="T11" s="59">
        <v>2.7000000700354576E-2</v>
      </c>
      <c r="U11" s="60">
        <v>3</v>
      </c>
      <c r="V11" s="54"/>
      <c r="W11" s="54">
        <f>ROUND(D11*S11,2)</f>
        <v>15.8</v>
      </c>
      <c r="X11" s="54">
        <f>ROUND(D11*T11,2)</f>
        <v>2.13</v>
      </c>
      <c r="Y11" s="55"/>
    </row>
    <row r="12" spans="1:234" x14ac:dyDescent="0.25">
      <c r="A12" s="51">
        <v>2</v>
      </c>
      <c r="B12" s="52" t="s">
        <v>49</v>
      </c>
      <c r="C12" s="53" t="s">
        <v>46</v>
      </c>
      <c r="D12" s="56">
        <v>79</v>
      </c>
      <c r="E12" s="56">
        <v>40</v>
      </c>
      <c r="F12" s="55">
        <f>ROUND(E12*ROUND(D12,2),2)</f>
        <v>3160</v>
      </c>
      <c r="G12" s="49" t="s">
        <v>47</v>
      </c>
      <c r="H12" s="57">
        <f>KoeffForPrice</f>
        <v>1.8</v>
      </c>
      <c r="I12" s="54">
        <f>ROUND(E12*H12,2)</f>
        <v>72</v>
      </c>
      <c r="J12" s="55">
        <f>ROUND(I12*ROUND(D12,2),2)</f>
        <v>5688</v>
      </c>
      <c r="L12" s="42"/>
      <c r="P12" s="3" t="s">
        <v>44</v>
      </c>
      <c r="Q12" s="3" t="s">
        <v>50</v>
      </c>
      <c r="S12" s="58">
        <v>0.15999999642372131</v>
      </c>
      <c r="T12" s="59">
        <v>1.6999999934341758E-4</v>
      </c>
      <c r="U12" s="60">
        <v>3</v>
      </c>
      <c r="V12" s="54"/>
      <c r="W12" s="54">
        <f>ROUND(D12*S12,2)</f>
        <v>12.64</v>
      </c>
      <c r="X12" s="54">
        <f>ROUND(D12*T12,2)</f>
        <v>0.01</v>
      </c>
      <c r="Y12" s="55"/>
    </row>
    <row r="13" spans="1:234" x14ac:dyDescent="0.25">
      <c r="A13" s="51">
        <v>3</v>
      </c>
      <c r="B13" s="52" t="s">
        <v>51</v>
      </c>
      <c r="C13" s="53" t="s">
        <v>52</v>
      </c>
      <c r="D13" s="56">
        <v>70</v>
      </c>
      <c r="E13" s="56">
        <v>30</v>
      </c>
      <c r="F13" s="55">
        <f>ROUND(E13*ROUND(D13,2),2)</f>
        <v>2100</v>
      </c>
      <c r="G13" s="49" t="s">
        <v>47</v>
      </c>
      <c r="H13" s="57">
        <f>KoeffForPrice</f>
        <v>1.8</v>
      </c>
      <c r="I13" s="54">
        <f>ROUND(E13*H13,2)</f>
        <v>54</v>
      </c>
      <c r="J13" s="55">
        <f>ROUND(I13*ROUND(D13,2),2)</f>
        <v>3780</v>
      </c>
      <c r="L13" s="42"/>
      <c r="P13" s="3" t="s">
        <v>44</v>
      </c>
      <c r="Q13" s="3" t="s">
        <v>53</v>
      </c>
      <c r="R13" s="3" t="s">
        <v>54</v>
      </c>
      <c r="S13" s="58">
        <v>0</v>
      </c>
      <c r="T13" s="59">
        <v>5.0000002374872565E-4</v>
      </c>
      <c r="U13" s="60"/>
      <c r="V13" s="54"/>
      <c r="W13" s="54">
        <f>ROUND(D13*S13,2)</f>
        <v>0</v>
      </c>
      <c r="X13" s="54">
        <f>ROUND(D13*T13,2)</f>
        <v>0.04</v>
      </c>
      <c r="Y13" s="55"/>
    </row>
    <row r="14" spans="1:234" ht="47.25" x14ac:dyDescent="0.25">
      <c r="A14" s="51">
        <v>4</v>
      </c>
      <c r="B14" s="52" t="s">
        <v>55</v>
      </c>
      <c r="C14" s="53" t="s">
        <v>46</v>
      </c>
      <c r="D14" s="56">
        <v>79</v>
      </c>
      <c r="E14" s="56">
        <v>220</v>
      </c>
      <c r="F14" s="55">
        <f>ROUND(E14*ROUND(D14,2),2)</f>
        <v>17380</v>
      </c>
      <c r="G14" s="49" t="s">
        <v>47</v>
      </c>
      <c r="H14" s="57">
        <f>KoeffForPrice</f>
        <v>1.8</v>
      </c>
      <c r="I14" s="54">
        <f>ROUND(E14*H14,2)</f>
        <v>396</v>
      </c>
      <c r="J14" s="55">
        <f>ROUND(I14*ROUND(D14,2),2)</f>
        <v>31284</v>
      </c>
      <c r="L14" s="42"/>
      <c r="P14" s="3" t="s">
        <v>44</v>
      </c>
      <c r="Q14" s="3" t="s">
        <v>56</v>
      </c>
      <c r="R14" s="3" t="s">
        <v>54</v>
      </c>
      <c r="S14" s="58">
        <v>0</v>
      </c>
      <c r="T14" s="59">
        <v>9.9999997764825821E-3</v>
      </c>
      <c r="U14" s="60"/>
      <c r="V14" s="54"/>
      <c r="W14" s="54">
        <f>ROUND(D14*S14,2)</f>
        <v>0</v>
      </c>
      <c r="X14" s="54">
        <f>ROUND(D14*T14,2)</f>
        <v>0.79</v>
      </c>
      <c r="Y14" s="55"/>
    </row>
    <row r="15" spans="1:234" x14ac:dyDescent="0.25">
      <c r="A15" s="51">
        <v>5</v>
      </c>
      <c r="B15" s="52" t="s">
        <v>57</v>
      </c>
      <c r="C15" s="53" t="s">
        <v>58</v>
      </c>
      <c r="D15" s="56">
        <v>1</v>
      </c>
      <c r="E15" s="56">
        <v>1500</v>
      </c>
      <c r="F15" s="55">
        <f>ROUND(E15*ROUND(D15,2),2)</f>
        <v>1500</v>
      </c>
      <c r="G15" s="49" t="s">
        <v>47</v>
      </c>
      <c r="H15" s="57">
        <f>KoeffForPrice</f>
        <v>1.8</v>
      </c>
      <c r="I15" s="54">
        <f>ROUND(E15*H15,2)</f>
        <v>2700</v>
      </c>
      <c r="J15" s="55">
        <f>ROUND(I15*ROUND(D15,2),2)</f>
        <v>2700</v>
      </c>
      <c r="L15" s="42"/>
      <c r="P15" s="3" t="s">
        <v>44</v>
      </c>
      <c r="Q15" s="3" t="s">
        <v>59</v>
      </c>
      <c r="S15" s="58">
        <v>0.20000000298023224</v>
      </c>
      <c r="T15" s="59">
        <v>0</v>
      </c>
      <c r="U15" s="60">
        <v>4</v>
      </c>
      <c r="V15" s="54"/>
      <c r="W15" s="54">
        <f>ROUND(D15*S15,2)</f>
        <v>0.2</v>
      </c>
      <c r="X15" s="54">
        <f>ROUND(D15*T15,2)</f>
        <v>0</v>
      </c>
      <c r="Y15" s="55"/>
    </row>
    <row r="16" spans="1:234" x14ac:dyDescent="0.25">
      <c r="A16" s="51">
        <v>6</v>
      </c>
      <c r="B16" s="52" t="s">
        <v>60</v>
      </c>
      <c r="C16" s="53" t="s">
        <v>46</v>
      </c>
      <c r="D16" s="56">
        <v>79</v>
      </c>
      <c r="E16" s="56">
        <v>170</v>
      </c>
      <c r="F16" s="55">
        <f>ROUND(E16*ROUND(D16,2),2)</f>
        <v>13430</v>
      </c>
      <c r="G16" s="49" t="s">
        <v>47</v>
      </c>
      <c r="H16" s="57">
        <f>KoeffForPrice</f>
        <v>1.8</v>
      </c>
      <c r="I16" s="54">
        <f>ROUND(E16*H16,2)</f>
        <v>306</v>
      </c>
      <c r="J16" s="55">
        <f>ROUND(I16*ROUND(D16,2),2)</f>
        <v>24174</v>
      </c>
      <c r="L16" s="42"/>
      <c r="P16" s="3" t="s">
        <v>44</v>
      </c>
      <c r="S16" s="58">
        <v>0</v>
      </c>
      <c r="T16" s="59">
        <v>0</v>
      </c>
      <c r="U16" s="60"/>
      <c r="V16" s="54"/>
      <c r="W16" s="54">
        <f>ROUND(D16*S16,2)</f>
        <v>0</v>
      </c>
      <c r="X16" s="54">
        <f>ROUND(D16*T16,2)</f>
        <v>0</v>
      </c>
      <c r="Y16" s="55"/>
    </row>
    <row r="17" spans="1:25" hidden="1" x14ac:dyDescent="0.25">
      <c r="P17" s="3" t="s">
        <v>61</v>
      </c>
    </row>
    <row r="18" spans="1:25" x14ac:dyDescent="0.25">
      <c r="A18" s="62" t="s">
        <v>63</v>
      </c>
      <c r="B18" s="64"/>
      <c r="C18" s="64"/>
      <c r="D18" s="64"/>
      <c r="E18" s="64"/>
      <c r="F18" s="63">
        <f>SUM(F10:F17)</f>
        <v>40177</v>
      </c>
      <c r="G18" s="65"/>
      <c r="H18" s="62" t="s">
        <v>63</v>
      </c>
      <c r="I18" s="64"/>
      <c r="J18" s="63">
        <f>SUM(J10:J17)</f>
        <v>72318.600000000006</v>
      </c>
      <c r="P18" s="3" t="s">
        <v>62</v>
      </c>
      <c r="S18" s="64"/>
      <c r="T18" s="64"/>
      <c r="U18" s="64"/>
      <c r="V18" s="64"/>
      <c r="W18" s="63">
        <f>SUM(W10:W17)</f>
        <v>28.64</v>
      </c>
      <c r="X18" s="63">
        <f>SUM(X10:X17)</f>
        <v>2.9699999999999998</v>
      </c>
      <c r="Y18" s="63">
        <f>SUM(Y10:Y17)</f>
        <v>0</v>
      </c>
    </row>
    <row r="19" spans="1:25" x14ac:dyDescent="0.25">
      <c r="A19" s="66" t="s">
        <v>65</v>
      </c>
      <c r="B19" s="68"/>
      <c r="C19" s="68"/>
      <c r="D19" s="68"/>
      <c r="E19" s="68"/>
      <c r="F19" s="67">
        <f>SUMIF(P10:P17,"pr",F10:F17)</f>
        <v>40177</v>
      </c>
      <c r="G19" s="69"/>
      <c r="H19" s="66" t="s">
        <v>65</v>
      </c>
      <c r="I19" s="68"/>
      <c r="J19" s="67">
        <f>SUMIF(P10:P17,"pr",J10:J17)</f>
        <v>72318.600000000006</v>
      </c>
      <c r="P19" s="3" t="s">
        <v>64</v>
      </c>
    </row>
    <row r="20" spans="1:25" x14ac:dyDescent="0.25">
      <c r="A20" s="66" t="s">
        <v>67</v>
      </c>
      <c r="B20" s="68"/>
      <c r="C20" s="68"/>
      <c r="D20" s="68"/>
      <c r="E20" s="68"/>
      <c r="F20" s="67">
        <f>SUMIF(P10:P17,"mat",F10:F17)+SUMIF(P10:P17,"meh",F10:F17)</f>
        <v>0</v>
      </c>
      <c r="G20" s="69"/>
      <c r="H20" s="66" t="s">
        <v>67</v>
      </c>
      <c r="I20" s="68"/>
      <c r="J20" s="67">
        <f>SUMIF(P10:P17,"mat",J10:J17)+SUMIF(P10:P17,"meh",J10:J17)</f>
        <v>0</v>
      </c>
      <c r="P20" s="3" t="s">
        <v>66</v>
      </c>
    </row>
    <row r="21" spans="1:25" x14ac:dyDescent="0.25">
      <c r="A21" s="40"/>
      <c r="B21" s="40"/>
      <c r="C21" s="40"/>
      <c r="D21" s="40"/>
      <c r="E21" s="40"/>
      <c r="F21" s="40"/>
      <c r="G21" s="7"/>
      <c r="H21" s="40"/>
      <c r="I21" s="40"/>
      <c r="J21" s="41"/>
      <c r="L21" s="42"/>
      <c r="P21" s="3" t="s">
        <v>40</v>
      </c>
    </row>
    <row r="22" spans="1:25" x14ac:dyDescent="0.25">
      <c r="A22" s="46">
        <v>2</v>
      </c>
      <c r="B22" s="47" t="s">
        <v>68</v>
      </c>
      <c r="C22" s="48"/>
      <c r="D22" s="48"/>
      <c r="E22" s="48"/>
      <c r="F22" s="48"/>
      <c r="G22" s="45"/>
      <c r="H22" s="48"/>
      <c r="I22" s="48"/>
      <c r="J22" s="48"/>
      <c r="L22" s="42"/>
      <c r="P22" s="3" t="s">
        <v>41</v>
      </c>
      <c r="S22" s="44"/>
      <c r="T22" s="44"/>
      <c r="U22" s="44"/>
      <c r="V22" s="44"/>
      <c r="W22" s="44"/>
      <c r="X22" s="44"/>
      <c r="Y22" s="44"/>
    </row>
    <row r="23" spans="1:25" hidden="1" x14ac:dyDescent="0.25">
      <c r="P23" s="3" t="s">
        <v>43</v>
      </c>
    </row>
    <row r="24" spans="1:25" x14ac:dyDescent="0.25">
      <c r="A24" s="51">
        <v>1</v>
      </c>
      <c r="B24" s="52" t="s">
        <v>69</v>
      </c>
      <c r="C24" s="53" t="s">
        <v>52</v>
      </c>
      <c r="D24" s="56">
        <v>15</v>
      </c>
      <c r="E24" s="56">
        <v>60</v>
      </c>
      <c r="F24" s="55">
        <f>ROUND(E24*ROUND(D24,2),2)</f>
        <v>900</v>
      </c>
      <c r="G24" s="49" t="s">
        <v>47</v>
      </c>
      <c r="H24" s="57">
        <f>KoeffForPrice</f>
        <v>1.8</v>
      </c>
      <c r="I24" s="54">
        <f>ROUND(E24*H24,2)</f>
        <v>108</v>
      </c>
      <c r="J24" s="55">
        <f>ROUND(I24*ROUND(D24,2),2)</f>
        <v>1620</v>
      </c>
      <c r="L24" s="42"/>
      <c r="P24" s="3" t="s">
        <v>44</v>
      </c>
      <c r="S24" s="58">
        <v>0</v>
      </c>
      <c r="T24" s="59">
        <v>0</v>
      </c>
      <c r="U24" s="60"/>
      <c r="V24" s="54"/>
      <c r="W24" s="54">
        <f>ROUND(D24*S24,2)</f>
        <v>0</v>
      </c>
      <c r="X24" s="54">
        <f>ROUND(D24*T24,2)</f>
        <v>0</v>
      </c>
      <c r="Y24" s="55"/>
    </row>
    <row r="25" spans="1:25" x14ac:dyDescent="0.25">
      <c r="A25" s="51">
        <v>2</v>
      </c>
      <c r="B25" s="52" t="s">
        <v>70</v>
      </c>
      <c r="C25" s="53" t="s">
        <v>52</v>
      </c>
      <c r="D25" s="56">
        <v>15</v>
      </c>
      <c r="E25" s="56">
        <v>330</v>
      </c>
      <c r="F25" s="55">
        <f>ROUND(E25*ROUND(D25,2),2)</f>
        <v>4950</v>
      </c>
      <c r="G25" s="49" t="s">
        <v>47</v>
      </c>
      <c r="H25" s="57">
        <f>KoeffForPrice</f>
        <v>1.8</v>
      </c>
      <c r="I25" s="54">
        <f>ROUND(E25*H25,2)</f>
        <v>594</v>
      </c>
      <c r="J25" s="55">
        <f>ROUND(I25*ROUND(D25,2),2)</f>
        <v>8910</v>
      </c>
      <c r="L25" s="42"/>
      <c r="P25" s="3" t="s">
        <v>44</v>
      </c>
      <c r="S25" s="58">
        <v>0</v>
      </c>
      <c r="T25" s="59">
        <v>0</v>
      </c>
      <c r="U25" s="60"/>
      <c r="V25" s="54"/>
      <c r="W25" s="54">
        <f>ROUND(D25*S25,2)</f>
        <v>0</v>
      </c>
      <c r="X25" s="54">
        <f>ROUND(D25*T25,2)</f>
        <v>0</v>
      </c>
      <c r="Y25" s="55"/>
    </row>
    <row r="26" spans="1:25" hidden="1" x14ac:dyDescent="0.25">
      <c r="P26" s="3" t="s">
        <v>61</v>
      </c>
    </row>
    <row r="27" spans="1:25" x14ac:dyDescent="0.25">
      <c r="A27" s="62" t="s">
        <v>63</v>
      </c>
      <c r="B27" s="64"/>
      <c r="C27" s="64"/>
      <c r="D27" s="64"/>
      <c r="E27" s="64"/>
      <c r="F27" s="63">
        <f>SUM(F23:F26)</f>
        <v>5850</v>
      </c>
      <c r="G27" s="65"/>
      <c r="H27" s="62" t="s">
        <v>63</v>
      </c>
      <c r="I27" s="64"/>
      <c r="J27" s="63">
        <f>SUM(J23:J26)</f>
        <v>10530</v>
      </c>
      <c r="P27" s="3" t="s">
        <v>62</v>
      </c>
      <c r="S27" s="64"/>
      <c r="T27" s="64"/>
      <c r="U27" s="64"/>
      <c r="V27" s="64"/>
      <c r="W27" s="63">
        <f>SUM(W23:W26)</f>
        <v>0</v>
      </c>
      <c r="X27" s="63">
        <f>SUM(X23:X26)</f>
        <v>0</v>
      </c>
      <c r="Y27" s="63">
        <f>SUM(Y23:Y26)</f>
        <v>0</v>
      </c>
    </row>
    <row r="28" spans="1:25" x14ac:dyDescent="0.25">
      <c r="A28" s="66" t="s">
        <v>65</v>
      </c>
      <c r="B28" s="68"/>
      <c r="C28" s="68"/>
      <c r="D28" s="68"/>
      <c r="E28" s="68"/>
      <c r="F28" s="67">
        <f>SUMIF(P23:P26,"pr",F23:F26)</f>
        <v>5850</v>
      </c>
      <c r="G28" s="69"/>
      <c r="H28" s="66" t="s">
        <v>65</v>
      </c>
      <c r="I28" s="68"/>
      <c r="J28" s="67">
        <f>SUMIF(P23:P26,"pr",J23:J26)</f>
        <v>10530</v>
      </c>
      <c r="P28" s="3" t="s">
        <v>64</v>
      </c>
    </row>
    <row r="29" spans="1:25" x14ac:dyDescent="0.25">
      <c r="A29" s="66" t="s">
        <v>67</v>
      </c>
      <c r="B29" s="68"/>
      <c r="C29" s="68"/>
      <c r="D29" s="68"/>
      <c r="E29" s="68"/>
      <c r="F29" s="67">
        <f>SUMIF(P23:P26,"mat",F23:F26)+SUMIF(P23:P26,"meh",F23:F26)</f>
        <v>0</v>
      </c>
      <c r="G29" s="69"/>
      <c r="H29" s="66" t="s">
        <v>67</v>
      </c>
      <c r="I29" s="68"/>
      <c r="J29" s="67">
        <f>SUMIF(P23:P26,"mat",J23:J26)+SUMIF(P23:P26,"meh",J23:J26)</f>
        <v>0</v>
      </c>
      <c r="P29" s="3" t="s">
        <v>66</v>
      </c>
    </row>
    <row r="30" spans="1:25" x14ac:dyDescent="0.25">
      <c r="A30" s="40"/>
      <c r="B30" s="40"/>
      <c r="C30" s="40"/>
      <c r="D30" s="40"/>
      <c r="E30" s="40"/>
      <c r="F30" s="40"/>
      <c r="G30" s="7"/>
      <c r="H30" s="40"/>
      <c r="I30" s="40"/>
      <c r="J30" s="41"/>
      <c r="L30" s="42"/>
      <c r="P30" s="3" t="s">
        <v>40</v>
      </c>
    </row>
    <row r="31" spans="1:25" x14ac:dyDescent="0.25">
      <c r="A31" s="85" t="s">
        <v>72</v>
      </c>
      <c r="B31" s="88"/>
      <c r="C31" s="88"/>
      <c r="D31" s="88"/>
      <c r="E31" s="88"/>
      <c r="F31" s="86">
        <f>SUMIF(P8:P30,"irazd",F8:F30)</f>
        <v>46027</v>
      </c>
      <c r="G31" s="89"/>
      <c r="H31" s="85" t="s">
        <v>72</v>
      </c>
      <c r="I31" s="88"/>
      <c r="J31" s="87">
        <f>SUMIF(P8:P30,"irazd",J8:J30)</f>
        <v>82848.600000000006</v>
      </c>
      <c r="L31" s="42"/>
      <c r="P31" s="3" t="s">
        <v>71</v>
      </c>
      <c r="W31" s="70">
        <f>SUMIF(P8:P30,"irazd",W8:W30)</f>
        <v>28.64</v>
      </c>
      <c r="X31" s="70">
        <f>SUMIF(P8:P30,"irazd",X8:X30)</f>
        <v>2.9699999999999998</v>
      </c>
      <c r="Y31" s="70">
        <f>SUMIF(P8:P30,"irazd",Y8:Y30)</f>
        <v>0</v>
      </c>
    </row>
    <row r="32" spans="1:25" x14ac:dyDescent="0.25">
      <c r="A32" s="90" t="s">
        <v>65</v>
      </c>
      <c r="B32" s="93"/>
      <c r="C32" s="93"/>
      <c r="D32" s="93"/>
      <c r="E32" s="93"/>
      <c r="F32" s="91">
        <f>SUMIF(P8:P30,"irazdp",F8:F30)</f>
        <v>46027</v>
      </c>
      <c r="G32" s="94"/>
      <c r="H32" s="90" t="s">
        <v>65</v>
      </c>
      <c r="I32" s="93"/>
      <c r="J32" s="92">
        <f>SUMIF(P8:P30,"irazdp",J8:J30)</f>
        <v>82848.600000000006</v>
      </c>
      <c r="L32" s="42"/>
      <c r="P32" s="3" t="s">
        <v>73</v>
      </c>
    </row>
    <row r="33" spans="1:16" x14ac:dyDescent="0.25">
      <c r="A33" s="90" t="s">
        <v>67</v>
      </c>
      <c r="B33" s="93"/>
      <c r="C33" s="93"/>
      <c r="D33" s="93"/>
      <c r="E33" s="93"/>
      <c r="F33" s="91">
        <f>SUMIF(P8:P30,"irazdm",F8:F30)</f>
        <v>0</v>
      </c>
      <c r="G33" s="94"/>
      <c r="H33" s="90" t="s">
        <v>67</v>
      </c>
      <c r="I33" s="93"/>
      <c r="J33" s="92">
        <f>SUMIF(P8:P30,"irazdm",J8:J30)</f>
        <v>0</v>
      </c>
      <c r="L33" s="42"/>
      <c r="P33" s="3" t="s">
        <v>74</v>
      </c>
    </row>
    <row r="34" spans="1:16" x14ac:dyDescent="0.25">
      <c r="A34" s="40"/>
      <c r="B34" s="40"/>
      <c r="C34" s="40"/>
      <c r="D34" s="40"/>
      <c r="E34" s="40"/>
      <c r="F34" s="40"/>
      <c r="G34" s="96"/>
      <c r="H34" s="40"/>
      <c r="I34" s="40"/>
      <c r="J34" s="41"/>
      <c r="L34" s="42"/>
      <c r="P34" s="3" t="s">
        <v>75</v>
      </c>
    </row>
    <row r="35" spans="1:16" x14ac:dyDescent="0.25">
      <c r="A35" s="81" t="s">
        <v>77</v>
      </c>
      <c r="B35" s="98"/>
      <c r="C35" s="97">
        <v>0.05</v>
      </c>
      <c r="D35" s="98"/>
      <c r="E35" s="98"/>
      <c r="F35" s="83">
        <f>ROUND(F31*НР,2)</f>
        <v>2301.35</v>
      </c>
      <c r="G35" s="99"/>
      <c r="H35" s="98"/>
      <c r="I35" s="98"/>
      <c r="J35" s="100"/>
      <c r="L35" s="42"/>
      <c r="P35" s="3" t="s">
        <v>76</v>
      </c>
    </row>
    <row r="36" spans="1:16" x14ac:dyDescent="0.25">
      <c r="A36" s="85" t="s">
        <v>79</v>
      </c>
      <c r="B36" s="88"/>
      <c r="C36" s="88"/>
      <c r="D36" s="88"/>
      <c r="E36" s="88"/>
      <c r="F36" s="86">
        <f>F31+F35</f>
        <v>48328.35</v>
      </c>
      <c r="G36" s="89"/>
      <c r="H36" s="88"/>
      <c r="I36" s="88"/>
      <c r="J36" s="101"/>
      <c r="L36" s="42"/>
      <c r="P36" s="3" t="s">
        <v>78</v>
      </c>
    </row>
    <row r="37" spans="1:16" x14ac:dyDescent="0.25">
      <c r="A37" s="40"/>
      <c r="B37" s="40"/>
      <c r="C37" s="40"/>
      <c r="D37" s="40"/>
      <c r="E37" s="40"/>
      <c r="F37" s="40"/>
      <c r="G37" s="96"/>
      <c r="H37" s="40"/>
      <c r="I37" s="40"/>
      <c r="J37" s="41"/>
      <c r="L37" s="42"/>
      <c r="P37" s="3" t="s">
        <v>75</v>
      </c>
    </row>
    <row r="38" spans="1:16" ht="21.75" customHeight="1" x14ac:dyDescent="0.25">
      <c r="A38" s="74" t="s">
        <v>80</v>
      </c>
      <c r="B38" s="75"/>
      <c r="C38" s="75"/>
      <c r="D38" s="75"/>
      <c r="E38" s="75"/>
      <c r="F38" s="75"/>
      <c r="G38" s="102"/>
      <c r="H38" s="40"/>
      <c r="I38" s="40"/>
      <c r="J38" s="41"/>
      <c r="L38" s="42"/>
      <c r="P38" s="3" t="s">
        <v>75</v>
      </c>
    </row>
    <row r="39" spans="1:16" x14ac:dyDescent="0.25">
      <c r="A39" s="40"/>
      <c r="B39" s="40"/>
      <c r="C39" s="40"/>
      <c r="D39" s="40"/>
      <c r="E39" s="40"/>
      <c r="F39" s="40"/>
      <c r="G39" s="95"/>
      <c r="H39" s="40"/>
      <c r="I39" s="40"/>
      <c r="J39" s="41"/>
      <c r="L39" s="42"/>
      <c r="P39" s="3" t="s">
        <v>75</v>
      </c>
    </row>
    <row r="40" spans="1:16" x14ac:dyDescent="0.25">
      <c r="A40" s="81" t="s">
        <v>72</v>
      </c>
      <c r="B40" s="82"/>
      <c r="C40" s="82"/>
      <c r="D40" s="82"/>
      <c r="E40" s="82"/>
      <c r="F40" s="82"/>
      <c r="G40" s="103"/>
      <c r="H40" s="82"/>
      <c r="I40" s="82"/>
      <c r="J40" s="84">
        <f>ItogoPoRazdelam1</f>
        <v>82848.600000000006</v>
      </c>
      <c r="L40" s="42"/>
      <c r="P40" s="3" t="s">
        <v>81</v>
      </c>
    </row>
    <row r="41" spans="1:16" x14ac:dyDescent="0.25">
      <c r="A41" s="81"/>
      <c r="B41" s="82"/>
      <c r="C41" s="82"/>
      <c r="D41" s="82"/>
      <c r="E41" s="82"/>
      <c r="F41" s="82"/>
      <c r="G41" s="103"/>
      <c r="H41" s="82"/>
      <c r="I41" s="82"/>
      <c r="J41" s="84"/>
      <c r="L41" s="42"/>
      <c r="P41" s="3" t="s">
        <v>82</v>
      </c>
    </row>
    <row r="42" spans="1:16" x14ac:dyDescent="0.25">
      <c r="A42" s="81" t="s">
        <v>84</v>
      </c>
      <c r="B42" s="81"/>
      <c r="C42" s="97"/>
      <c r="D42" s="81"/>
      <c r="E42" s="81"/>
      <c r="F42" s="81"/>
      <c r="G42" s="104"/>
      <c r="H42" s="81"/>
      <c r="I42" s="81"/>
      <c r="J42" s="84" t="s">
        <v>39</v>
      </c>
      <c r="L42" s="42"/>
      <c r="P42" s="3" t="s">
        <v>83</v>
      </c>
    </row>
    <row r="43" spans="1:16" x14ac:dyDescent="0.25">
      <c r="A43" s="85" t="s">
        <v>86</v>
      </c>
      <c r="B43" s="85"/>
      <c r="C43" s="106"/>
      <c r="D43" s="85"/>
      <c r="E43" s="85"/>
      <c r="F43" s="85"/>
      <c r="G43" s="105"/>
      <c r="H43" s="85"/>
      <c r="I43" s="85"/>
      <c r="J43" s="87">
        <f>J40</f>
        <v>82848.600000000006</v>
      </c>
      <c r="L43" s="42"/>
      <c r="P43" s="3" t="s">
        <v>85</v>
      </c>
    </row>
    <row r="44" spans="1:16" x14ac:dyDescent="0.25">
      <c r="A44" s="107"/>
      <c r="B44" s="107"/>
      <c r="C44" s="107"/>
      <c r="D44" s="107"/>
      <c r="E44" s="107"/>
      <c r="F44" s="107"/>
      <c r="G44" s="108"/>
      <c r="H44" s="107"/>
      <c r="I44" s="107"/>
      <c r="J44" s="109"/>
      <c r="L44" s="42"/>
      <c r="P44" s="3" t="s">
        <v>87</v>
      </c>
    </row>
    <row r="45" spans="1:16" x14ac:dyDescent="0.25">
      <c r="A45" s="40"/>
      <c r="B45" s="40"/>
      <c r="C45" s="40"/>
      <c r="D45" s="40"/>
      <c r="E45" s="40"/>
      <c r="F45" s="40"/>
      <c r="G45"/>
      <c r="H45" s="40"/>
      <c r="I45" s="40"/>
      <c r="J45" s="40"/>
      <c r="L45" s="42"/>
    </row>
  </sheetData>
  <mergeCells count="18">
    <mergeCell ref="V5:V6"/>
    <mergeCell ref="W5:W6"/>
    <mergeCell ref="X5:X6"/>
    <mergeCell ref="Y5:Y6"/>
    <mergeCell ref="A5:F5"/>
    <mergeCell ref="I5:J5"/>
    <mergeCell ref="G5:G7"/>
    <mergeCell ref="S5:S6"/>
    <mergeCell ref="T5:T6"/>
    <mergeCell ref="U5:U6"/>
    <mergeCell ref="C1:D1"/>
    <mergeCell ref="C2:D2"/>
    <mergeCell ref="C3:D3"/>
    <mergeCell ref="C4:D4"/>
    <mergeCell ref="G1:H1"/>
    <mergeCell ref="G2:H2"/>
    <mergeCell ref="G3:H3"/>
    <mergeCell ref="G4:H4"/>
  </mergeCells>
  <pageMargins left="0.7" right="0.7" top="0.75" bottom="0.75" header="0.3" footer="0.3"/>
  <pageSetup paperSize="9" scale="76" fitToHeight="0" orientation="portrait" horizontalDpi="300" verticalDpi="300" r:id="rId1"/>
  <headerFooter>
    <oddFooter>&amp;C&amp;P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0E18-AB40-400B-970D-EB39E558B1B6}">
  <sheetPr>
    <tabColor rgb="FFFFFF00"/>
    <pageSetUpPr fitToPage="1"/>
  </sheetPr>
  <dimension ref="A1:HZ36"/>
  <sheetViews>
    <sheetView showGridLines="0" zoomScaleNormal="100" workbookViewId="0">
      <selection activeCell="B16" sqref="B16"/>
    </sheetView>
  </sheetViews>
  <sheetFormatPr defaultRowHeight="15.75" x14ac:dyDescent="0.25"/>
  <cols>
    <col min="1" max="1" width="5" style="1" customWidth="1"/>
    <col min="2" max="2" width="62.42578125" style="1" customWidth="1"/>
    <col min="3" max="3" width="9" style="1" customWidth="1"/>
    <col min="4" max="4" width="12.140625" style="1" customWidth="1"/>
    <col min="5" max="5" width="16.7109375" style="1" customWidth="1"/>
    <col min="6" max="6" width="18.7109375" style="1" customWidth="1"/>
    <col min="7" max="15" width="17.7109375" style="1" customWidth="1"/>
    <col min="16" max="234" width="9.140625" style="3"/>
    <col min="235" max="16384" width="9.140625" style="1"/>
  </cols>
  <sheetData>
    <row r="1" spans="1:211" ht="24" customHeight="1" x14ac:dyDescent="0.3">
      <c r="A1" s="110" t="s">
        <v>90</v>
      </c>
      <c r="C1" s="110" t="s">
        <v>91</v>
      </c>
      <c r="T1" s="3" t="s">
        <v>92</v>
      </c>
      <c r="U1" s="3">
        <v>1</v>
      </c>
      <c r="V1" s="3" t="s">
        <v>38</v>
      </c>
      <c r="W1" s="3">
        <v>1</v>
      </c>
      <c r="X1" s="119">
        <v>46072</v>
      </c>
      <c r="GR1" s="3" t="s">
        <v>88</v>
      </c>
      <c r="GS1" s="37" t="s">
        <v>2</v>
      </c>
      <c r="GV1" s="3">
        <v>1</v>
      </c>
      <c r="GW1" s="3" t="s">
        <v>39</v>
      </c>
    </row>
    <row r="2" spans="1:211" ht="15.75" customHeight="1" x14ac:dyDescent="0.25">
      <c r="A2" s="111" t="s">
        <v>99</v>
      </c>
      <c r="B2" s="111"/>
      <c r="C2" s="111" t="s">
        <v>103</v>
      </c>
      <c r="D2" s="111"/>
      <c r="E2" s="111"/>
      <c r="F2" s="111"/>
      <c r="G2"/>
      <c r="T2" s="3" t="s">
        <v>38</v>
      </c>
      <c r="U2" s="3" t="s">
        <v>107</v>
      </c>
      <c r="GR2" s="3" t="s">
        <v>89</v>
      </c>
    </row>
    <row r="3" spans="1:211" ht="57" customHeight="1" x14ac:dyDescent="0.25">
      <c r="A3" s="112" t="s">
        <v>100</v>
      </c>
      <c r="B3" s="112"/>
      <c r="C3" s="112" t="s">
        <v>104</v>
      </c>
      <c r="D3" s="112"/>
      <c r="E3" s="112"/>
      <c r="F3" s="112"/>
      <c r="T3" s="37"/>
      <c r="U3" s="119">
        <v>46072</v>
      </c>
      <c r="V3" s="3">
        <v>0</v>
      </c>
      <c r="W3" s="120">
        <v>0</v>
      </c>
      <c r="X3" s="3">
        <v>0</v>
      </c>
      <c r="GV3" s="3" t="b">
        <v>0</v>
      </c>
      <c r="GW3" s="3">
        <v>0</v>
      </c>
      <c r="GX3" s="3" t="b">
        <v>0</v>
      </c>
      <c r="GZ3" s="3" t="s">
        <v>125</v>
      </c>
      <c r="HA3" s="3" t="s">
        <v>126</v>
      </c>
      <c r="HB3" s="3" t="s">
        <v>127</v>
      </c>
      <c r="HC3" s="3" t="s">
        <v>124</v>
      </c>
    </row>
    <row r="4" spans="1:211" ht="18" customHeight="1" x14ac:dyDescent="0.25">
      <c r="A4" s="111" t="s">
        <v>105</v>
      </c>
      <c r="B4" s="111"/>
      <c r="C4" s="111" t="s">
        <v>105</v>
      </c>
      <c r="D4" s="111"/>
      <c r="E4" s="111"/>
      <c r="F4" s="111"/>
      <c r="T4" s="3" t="s">
        <v>102</v>
      </c>
      <c r="U4" s="3" t="s">
        <v>98</v>
      </c>
      <c r="GR4" s="3" t="s">
        <v>1</v>
      </c>
    </row>
    <row r="5" spans="1:211" ht="39.950000000000003" customHeight="1" x14ac:dyDescent="0.3">
      <c r="A5" s="113" t="s">
        <v>106</v>
      </c>
      <c r="B5" s="113"/>
      <c r="C5" s="113"/>
      <c r="D5" s="113"/>
      <c r="E5" s="113"/>
      <c r="F5" s="113"/>
      <c r="T5" s="37" t="s">
        <v>101</v>
      </c>
      <c r="U5" s="37" t="s">
        <v>97</v>
      </c>
      <c r="GR5" s="3">
        <v>1</v>
      </c>
    </row>
    <row r="6" spans="1:211" ht="39.950000000000003" customHeight="1" x14ac:dyDescent="0.25">
      <c r="A6" s="114" t="s">
        <v>108</v>
      </c>
      <c r="B6" s="114"/>
      <c r="C6" s="114"/>
      <c r="D6" s="114"/>
      <c r="E6" s="114"/>
      <c r="F6" s="114"/>
      <c r="GR6" s="3" t="b">
        <v>1</v>
      </c>
    </row>
    <row r="7" spans="1:211" ht="15.75" customHeight="1" x14ac:dyDescent="0.25">
      <c r="A7" s="1" t="s">
        <v>109</v>
      </c>
      <c r="C7" s="43"/>
      <c r="GR7" s="3" t="b">
        <v>1</v>
      </c>
    </row>
    <row r="8" spans="1:211" ht="15.75" customHeight="1" x14ac:dyDescent="0.25">
      <c r="A8" s="1" t="s">
        <v>110</v>
      </c>
      <c r="GR8" s="3" t="b">
        <v>1</v>
      </c>
    </row>
    <row r="9" spans="1:211" ht="15.75" customHeight="1" x14ac:dyDescent="0.25">
      <c r="E9" s="116" t="s">
        <v>93</v>
      </c>
      <c r="F9" s="117">
        <f>_xlfn.SINGLE(VsegoPoSmete)</f>
        <v>82848.600000000006</v>
      </c>
    </row>
    <row r="10" spans="1:211" ht="15.75" customHeight="1" x14ac:dyDescent="0.25">
      <c r="E10" s="115" t="s">
        <v>94</v>
      </c>
      <c r="F10" s="61">
        <f>_xlfn.SINGLE(ItogoStoimostRabot)</f>
        <v>82848.600000000006</v>
      </c>
    </row>
    <row r="11" spans="1:211" ht="15.75" customHeight="1" x14ac:dyDescent="0.25">
      <c r="A11" s="1" t="s">
        <v>111</v>
      </c>
      <c r="E11" s="115" t="s">
        <v>95</v>
      </c>
      <c r="F11" s="61">
        <f>LabelItogoPoSmete-LabelItogoStRabot</f>
        <v>0</v>
      </c>
    </row>
    <row r="12" spans="1:211" ht="33.75" customHeight="1" x14ac:dyDescent="0.25">
      <c r="A12" s="31" t="s">
        <v>23</v>
      </c>
      <c r="B12" s="31" t="s">
        <v>24</v>
      </c>
      <c r="C12" s="31" t="s">
        <v>96</v>
      </c>
      <c r="D12" s="31" t="s">
        <v>26</v>
      </c>
      <c r="E12" s="31" t="s">
        <v>27</v>
      </c>
      <c r="F12" s="31" t="s">
        <v>28</v>
      </c>
    </row>
    <row r="13" spans="1:211" ht="14.25" customHeight="1" x14ac:dyDescent="0.25">
      <c r="A13" s="33">
        <v>1</v>
      </c>
      <c r="B13" s="33">
        <v>2</v>
      </c>
      <c r="C13" s="33">
        <v>3</v>
      </c>
      <c r="D13" s="33">
        <v>4</v>
      </c>
      <c r="E13" s="33">
        <v>5</v>
      </c>
      <c r="F13" s="33">
        <v>6</v>
      </c>
    </row>
    <row r="14" spans="1:211" x14ac:dyDescent="0.25">
      <c r="P14" s="3" t="s">
        <v>40</v>
      </c>
      <c r="AA14" s="3" t="s">
        <v>128</v>
      </c>
    </row>
    <row r="15" spans="1:211" x14ac:dyDescent="0.25">
      <c r="A15" s="121">
        <v>1</v>
      </c>
      <c r="B15" s="76" t="s">
        <v>42</v>
      </c>
      <c r="P15" s="3" t="s">
        <v>41</v>
      </c>
      <c r="AA15" s="3" t="s">
        <v>129</v>
      </c>
    </row>
    <row r="16" spans="1:211" ht="31.5" x14ac:dyDescent="0.25">
      <c r="A16" s="125" t="s">
        <v>118</v>
      </c>
      <c r="B16" s="126" t="s">
        <v>45</v>
      </c>
      <c r="C16" s="127" t="s">
        <v>46</v>
      </c>
      <c r="D16" s="128">
        <v>79</v>
      </c>
      <c r="E16" s="129">
        <v>59.4</v>
      </c>
      <c r="F16" s="130">
        <f>ROUND(E16*ROUND(D16,2),2)</f>
        <v>4692.6000000000004</v>
      </c>
      <c r="P16" s="3" t="s">
        <v>44</v>
      </c>
      <c r="Q16" s="3" t="s">
        <v>48</v>
      </c>
      <c r="AA16" s="3" t="s">
        <v>130</v>
      </c>
    </row>
    <row r="17" spans="1:27" x14ac:dyDescent="0.25">
      <c r="A17" s="51" t="s">
        <v>119</v>
      </c>
      <c r="B17" s="52" t="s">
        <v>49</v>
      </c>
      <c r="C17" s="53" t="s">
        <v>46</v>
      </c>
      <c r="D17" s="56">
        <v>79</v>
      </c>
      <c r="E17" s="54">
        <v>72</v>
      </c>
      <c r="F17" s="55">
        <f>ROUND(E17*ROUND(D17,2),2)</f>
        <v>5688</v>
      </c>
      <c r="P17" s="3" t="s">
        <v>44</v>
      </c>
      <c r="Q17" s="3" t="s">
        <v>50</v>
      </c>
      <c r="AA17" s="3" t="s">
        <v>131</v>
      </c>
    </row>
    <row r="18" spans="1:27" x14ac:dyDescent="0.25">
      <c r="A18" s="51" t="s">
        <v>120</v>
      </c>
      <c r="B18" s="52" t="s">
        <v>51</v>
      </c>
      <c r="C18" s="53" t="s">
        <v>52</v>
      </c>
      <c r="D18" s="56">
        <v>70</v>
      </c>
      <c r="E18" s="54">
        <v>54</v>
      </c>
      <c r="F18" s="55">
        <f>ROUND(E18*ROUND(D18,2),2)</f>
        <v>3780</v>
      </c>
      <c r="P18" s="3" t="s">
        <v>44</v>
      </c>
      <c r="Q18" s="3" t="s">
        <v>53</v>
      </c>
      <c r="R18" s="3" t="s">
        <v>54</v>
      </c>
      <c r="AA18" s="3" t="s">
        <v>132</v>
      </c>
    </row>
    <row r="19" spans="1:27" ht="47.25" x14ac:dyDescent="0.25">
      <c r="A19" s="51" t="s">
        <v>121</v>
      </c>
      <c r="B19" s="52" t="s">
        <v>55</v>
      </c>
      <c r="C19" s="53" t="s">
        <v>46</v>
      </c>
      <c r="D19" s="56">
        <v>79</v>
      </c>
      <c r="E19" s="54">
        <v>396</v>
      </c>
      <c r="F19" s="55">
        <f>ROUND(E19*ROUND(D19,2),2)</f>
        <v>31284</v>
      </c>
      <c r="P19" s="3" t="s">
        <v>44</v>
      </c>
      <c r="Q19" s="3" t="s">
        <v>56</v>
      </c>
      <c r="R19" s="3" t="s">
        <v>54</v>
      </c>
      <c r="AA19" s="3" t="s">
        <v>133</v>
      </c>
    </row>
    <row r="20" spans="1:27" x14ac:dyDescent="0.25">
      <c r="A20" s="51" t="s">
        <v>122</v>
      </c>
      <c r="B20" s="52" t="s">
        <v>57</v>
      </c>
      <c r="C20" s="53" t="s">
        <v>58</v>
      </c>
      <c r="D20" s="56">
        <v>1</v>
      </c>
      <c r="E20" s="54">
        <v>2700</v>
      </c>
      <c r="F20" s="55">
        <f>ROUND(E20*ROUND(D20,2),2)</f>
        <v>2700</v>
      </c>
      <c r="P20" s="3" t="s">
        <v>44</v>
      </c>
      <c r="Q20" s="3" t="s">
        <v>59</v>
      </c>
      <c r="AA20" s="3" t="s">
        <v>134</v>
      </c>
    </row>
    <row r="21" spans="1:27" x14ac:dyDescent="0.25">
      <c r="A21" s="131" t="s">
        <v>123</v>
      </c>
      <c r="B21" s="132" t="s">
        <v>60</v>
      </c>
      <c r="C21" s="133" t="s">
        <v>46</v>
      </c>
      <c r="D21" s="134">
        <v>79</v>
      </c>
      <c r="E21" s="135">
        <v>306</v>
      </c>
      <c r="F21" s="136">
        <f>ROUND(E21*ROUND(D21,2),2)</f>
        <v>24174</v>
      </c>
      <c r="P21" s="3" t="s">
        <v>44</v>
      </c>
      <c r="AA21" s="3" t="s">
        <v>135</v>
      </c>
    </row>
    <row r="22" spans="1:27" x14ac:dyDescent="0.25">
      <c r="A22" s="122" t="s">
        <v>112</v>
      </c>
      <c r="B22" s="122"/>
      <c r="F22" s="124">
        <f>SUM(F16:F21)</f>
        <v>72318.600000000006</v>
      </c>
      <c r="P22" s="3" t="s">
        <v>62</v>
      </c>
      <c r="AA22" s="3" t="s">
        <v>136</v>
      </c>
    </row>
    <row r="23" spans="1:27" x14ac:dyDescent="0.25">
      <c r="P23" s="3" t="s">
        <v>40</v>
      </c>
      <c r="AA23" s="3" t="s">
        <v>137</v>
      </c>
    </row>
    <row r="24" spans="1:27" x14ac:dyDescent="0.25">
      <c r="A24" s="121">
        <v>2</v>
      </c>
      <c r="B24" s="76" t="s">
        <v>68</v>
      </c>
      <c r="P24" s="3" t="s">
        <v>41</v>
      </c>
      <c r="AA24" s="3" t="s">
        <v>138</v>
      </c>
    </row>
    <row r="25" spans="1:27" x14ac:dyDescent="0.25">
      <c r="A25" s="125" t="s">
        <v>118</v>
      </c>
      <c r="B25" s="126" t="s">
        <v>69</v>
      </c>
      <c r="C25" s="127" t="s">
        <v>52</v>
      </c>
      <c r="D25" s="128">
        <v>15</v>
      </c>
      <c r="E25" s="129">
        <v>108</v>
      </c>
      <c r="F25" s="130">
        <f>ROUND(E25*ROUND(D25,2),2)</f>
        <v>1620</v>
      </c>
      <c r="P25" s="3" t="s">
        <v>44</v>
      </c>
      <c r="AA25" s="3" t="s">
        <v>139</v>
      </c>
    </row>
    <row r="26" spans="1:27" x14ac:dyDescent="0.25">
      <c r="A26" s="131" t="s">
        <v>119</v>
      </c>
      <c r="B26" s="132" t="s">
        <v>70</v>
      </c>
      <c r="C26" s="133" t="s">
        <v>52</v>
      </c>
      <c r="D26" s="134">
        <v>15</v>
      </c>
      <c r="E26" s="135">
        <v>594</v>
      </c>
      <c r="F26" s="136">
        <f>ROUND(E26*ROUND(D26,2),2)</f>
        <v>8910</v>
      </c>
      <c r="P26" s="3" t="s">
        <v>44</v>
      </c>
      <c r="AA26" s="3" t="s">
        <v>140</v>
      </c>
    </row>
    <row r="27" spans="1:27" x14ac:dyDescent="0.25">
      <c r="A27" s="122" t="s">
        <v>112</v>
      </c>
      <c r="B27" s="122"/>
      <c r="F27" s="124">
        <f>SUM(F25:F26)</f>
        <v>10530</v>
      </c>
      <c r="P27" s="3" t="s">
        <v>62</v>
      </c>
      <c r="AA27" s="3" t="s">
        <v>141</v>
      </c>
    </row>
    <row r="28" spans="1:27" x14ac:dyDescent="0.25">
      <c r="P28" s="3" t="s">
        <v>40</v>
      </c>
      <c r="AA28" s="3" t="s">
        <v>142</v>
      </c>
    </row>
    <row r="29" spans="1:27" x14ac:dyDescent="0.25">
      <c r="A29" s="122" t="s">
        <v>113</v>
      </c>
      <c r="B29" s="122"/>
      <c r="F29" s="124">
        <f>SUMIF(P14:P28,"irazd",F14:F28)</f>
        <v>82848.600000000006</v>
      </c>
      <c r="P29" s="3" t="s">
        <v>81</v>
      </c>
      <c r="AA29" s="3" t="s">
        <v>143</v>
      </c>
    </row>
    <row r="30" spans="1:27" hidden="1" x14ac:dyDescent="0.25">
      <c r="A30" s="137" t="s">
        <v>65</v>
      </c>
      <c r="B30" s="137"/>
      <c r="C30" s="71"/>
      <c r="D30" s="71"/>
      <c r="E30" s="71"/>
      <c r="F30" s="138">
        <f>SUMIF(P14:P28,"pr",F14:F28)</f>
        <v>82848.600000000006</v>
      </c>
      <c r="P30" s="3" t="s">
        <v>73</v>
      </c>
      <c r="AA30" s="3" t="s">
        <v>144</v>
      </c>
    </row>
    <row r="31" spans="1:27" hidden="1" x14ac:dyDescent="0.25">
      <c r="A31" s="137" t="s">
        <v>114</v>
      </c>
      <c r="B31" s="137"/>
      <c r="C31" s="71"/>
      <c r="D31" s="71"/>
      <c r="E31" s="71"/>
      <c r="F31" s="138">
        <f>ItogoPoRazdelam-ItogoStoimostRabot</f>
        <v>0</v>
      </c>
      <c r="P31" s="3" t="s">
        <v>74</v>
      </c>
      <c r="AA31" s="3" t="s">
        <v>145</v>
      </c>
    </row>
    <row r="32" spans="1:27" x14ac:dyDescent="0.25">
      <c r="P32" s="3" t="s">
        <v>82</v>
      </c>
      <c r="AA32" s="3" t="s">
        <v>146</v>
      </c>
    </row>
    <row r="33" spans="1:27" x14ac:dyDescent="0.25">
      <c r="A33" s="1" t="s">
        <v>84</v>
      </c>
      <c r="C33" s="139"/>
      <c r="F33" s="61" t="s">
        <v>39</v>
      </c>
      <c r="P33" s="3" t="s">
        <v>83</v>
      </c>
      <c r="AA33" s="3" t="s">
        <v>147</v>
      </c>
    </row>
    <row r="34" spans="1:27" x14ac:dyDescent="0.25">
      <c r="A34" s="73" t="s">
        <v>115</v>
      </c>
      <c r="B34" s="73"/>
      <c r="C34" s="73"/>
      <c r="D34" s="73"/>
      <c r="E34" s="73"/>
      <c r="F34" s="140">
        <f>ItogoPoRazdelam</f>
        <v>82848.600000000006</v>
      </c>
      <c r="P34" s="3" t="s">
        <v>85</v>
      </c>
      <c r="AA34" s="3" t="s">
        <v>148</v>
      </c>
    </row>
    <row r="35" spans="1:27" ht="80.099999999999994" customHeight="1" x14ac:dyDescent="0.25">
      <c r="B35" s="141" t="s">
        <v>116</v>
      </c>
    </row>
    <row r="36" spans="1:27" ht="80.099999999999994" customHeight="1" x14ac:dyDescent="0.25">
      <c r="B36" s="141" t="s">
        <v>117</v>
      </c>
    </row>
  </sheetData>
  <mergeCells count="8">
    <mergeCell ref="A5:F5"/>
    <mergeCell ref="A6:F6"/>
    <mergeCell ref="C2:F2"/>
    <mergeCell ref="A2:B2"/>
    <mergeCell ref="C3:F3"/>
    <mergeCell ref="A3:B3"/>
    <mergeCell ref="C4:F4"/>
    <mergeCell ref="A4:B4"/>
  </mergeCells>
  <pageMargins left="0.7" right="0.7" top="0.75" bottom="0.75" header="0.3" footer="0.3"/>
  <pageSetup paperSize="9" scale="72" fitToHeight="0" orientation="portrait" horizontalDpi="300" verticalDpi="300" r:id="rId1"/>
  <headerFooter>
    <oddFooter>&amp;C&amp;P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482DE-C122-4478-B017-BB979CF963D1}">
  <sheetPr>
    <tabColor rgb="FF00FF00"/>
    <pageSetUpPr fitToPage="1"/>
  </sheetPr>
  <dimension ref="A1:HZ52"/>
  <sheetViews>
    <sheetView showGridLines="0" zoomScaleNormal="100" workbookViewId="0"/>
  </sheetViews>
  <sheetFormatPr defaultRowHeight="15.75" x14ac:dyDescent="0.25"/>
  <cols>
    <col min="1" max="1" width="6.140625" style="1" customWidth="1"/>
    <col min="2" max="2" width="6.42578125" style="1" customWidth="1"/>
    <col min="3" max="3" width="66.140625" style="1" customWidth="1"/>
    <col min="4" max="4" width="12.140625" style="1" customWidth="1"/>
    <col min="5" max="5" width="14.42578125" style="1" customWidth="1"/>
    <col min="6" max="6" width="13" style="1" customWidth="1"/>
    <col min="7" max="7" width="13.85546875" style="1" customWidth="1"/>
    <col min="8" max="8" width="15.85546875" style="1" customWidth="1"/>
    <col min="9" max="9" width="18.7109375" style="1" customWidth="1"/>
    <col min="10" max="15" width="18.7109375" style="3" customWidth="1"/>
    <col min="16" max="157" width="9.140625" style="3"/>
    <col min="158" max="158" width="103.5703125" style="3" customWidth="1"/>
    <col min="159" max="234" width="9.140625" style="3"/>
    <col min="235" max="16384" width="9.140625" style="1"/>
  </cols>
  <sheetData>
    <row r="1" spans="1:205" x14ac:dyDescent="0.25">
      <c r="F1" s="2" t="s">
        <v>169</v>
      </c>
      <c r="T1" s="3" t="s">
        <v>38</v>
      </c>
      <c r="U1" s="142" t="s">
        <v>107</v>
      </c>
      <c r="GR1" s="3" t="s">
        <v>149</v>
      </c>
      <c r="GS1" s="37" t="s">
        <v>150</v>
      </c>
      <c r="GV1" s="3">
        <v>1</v>
      </c>
      <c r="GW1" s="3" t="s">
        <v>39</v>
      </c>
    </row>
    <row r="2" spans="1:205" x14ac:dyDescent="0.25">
      <c r="F2" s="2" t="s">
        <v>170</v>
      </c>
      <c r="R2" s="37"/>
      <c r="GR2" s="37" t="s">
        <v>2</v>
      </c>
    </row>
    <row r="3" spans="1:205" x14ac:dyDescent="0.25">
      <c r="F3" s="2" t="s">
        <v>171</v>
      </c>
      <c r="R3" s="3" t="b">
        <v>1</v>
      </c>
      <c r="GR3" s="37" t="s">
        <v>1</v>
      </c>
    </row>
    <row r="4" spans="1:205" ht="16.5" thickBot="1" x14ac:dyDescent="0.3">
      <c r="C4"/>
      <c r="H4" s="151" t="s">
        <v>185</v>
      </c>
      <c r="R4" s="3" t="b">
        <v>0</v>
      </c>
      <c r="T4" s="3" t="s">
        <v>101</v>
      </c>
      <c r="U4" s="3" t="s">
        <v>97</v>
      </c>
      <c r="V4" s="3" t="s">
        <v>97</v>
      </c>
    </row>
    <row r="5" spans="1:205" x14ac:dyDescent="0.25">
      <c r="C5"/>
      <c r="G5" s="115" t="s">
        <v>176</v>
      </c>
      <c r="H5" s="163" t="s">
        <v>186</v>
      </c>
      <c r="GR5" s="37" t="s">
        <v>223</v>
      </c>
    </row>
    <row r="6" spans="1:205" x14ac:dyDescent="0.25">
      <c r="A6" s="144" t="s">
        <v>151</v>
      </c>
      <c r="C6" s="145" t="s">
        <v>194</v>
      </c>
      <c r="D6" s="145"/>
      <c r="E6" s="145"/>
      <c r="F6" s="145"/>
      <c r="G6" s="115" t="s">
        <v>177</v>
      </c>
      <c r="H6" s="152" t="s">
        <v>195</v>
      </c>
      <c r="FB6" s="143" t="str">
        <f>C6</f>
        <v>ЗАО "Заказчик", г. Москва, ул. Самая длинная, д.54, тел: 8 (495) 123-45-67</v>
      </c>
    </row>
    <row r="7" spans="1:205" x14ac:dyDescent="0.25">
      <c r="A7" s="144"/>
      <c r="C7" s="147" t="s">
        <v>159</v>
      </c>
      <c r="D7" s="146"/>
      <c r="E7" s="146"/>
      <c r="F7" s="146"/>
      <c r="G7" s="115"/>
      <c r="H7" s="162" t="s">
        <v>195</v>
      </c>
    </row>
    <row r="8" spans="1:205" x14ac:dyDescent="0.25">
      <c r="A8" s="144" t="s">
        <v>152</v>
      </c>
      <c r="C8" s="145" t="s">
        <v>194</v>
      </c>
      <c r="D8" s="145"/>
      <c r="E8" s="145"/>
      <c r="F8" s="145"/>
      <c r="G8" s="115" t="s">
        <v>177</v>
      </c>
      <c r="H8" s="162"/>
      <c r="FB8" s="143" t="str">
        <f>C8</f>
        <v>ЗАО "Заказчик", г. Москва, ул. Самая длинная, д.54, тел: 8 (495) 123-45-67</v>
      </c>
    </row>
    <row r="9" spans="1:205" x14ac:dyDescent="0.25">
      <c r="A9" s="144"/>
      <c r="C9" s="147" t="s">
        <v>159</v>
      </c>
      <c r="D9" s="146"/>
      <c r="E9" s="146"/>
      <c r="F9" s="146"/>
      <c r="G9" s="115"/>
      <c r="H9" s="162" t="s">
        <v>198</v>
      </c>
    </row>
    <row r="10" spans="1:205" ht="31.5" x14ac:dyDescent="0.25">
      <c r="A10" s="144" t="s">
        <v>153</v>
      </c>
      <c r="C10" s="145" t="s">
        <v>197</v>
      </c>
      <c r="D10" s="145"/>
      <c r="E10" s="145"/>
      <c r="F10" s="145"/>
      <c r="G10" s="115" t="s">
        <v>177</v>
      </c>
      <c r="H10" s="162"/>
      <c r="FB10" s="143" t="str">
        <f>C10</f>
        <v>ООО РСК ДОММАСТЕР, 	453261, Башкортостан респ., г. Салават, ул. Уфимская, д. 37 к. А , тел: 89174806003</v>
      </c>
    </row>
    <row r="11" spans="1:205" x14ac:dyDescent="0.25">
      <c r="A11" s="144"/>
      <c r="C11" s="147" t="s">
        <v>159</v>
      </c>
      <c r="D11" s="146"/>
      <c r="E11" s="146"/>
      <c r="F11" s="146"/>
      <c r="G11" s="115"/>
      <c r="H11" s="162"/>
    </row>
    <row r="12" spans="1:205" x14ac:dyDescent="0.25">
      <c r="A12" s="144" t="s">
        <v>154</v>
      </c>
      <c r="C12" s="145" t="s">
        <v>200</v>
      </c>
      <c r="D12" s="145"/>
      <c r="E12" s="145"/>
      <c r="F12" s="145"/>
      <c r="G12" s="115"/>
      <c r="H12" s="162"/>
      <c r="FB12" s="143" t="str">
        <f>C12</f>
        <v>Ремонтно отделочные работы, г. Москва, ул. Самая длинная, д.54</v>
      </c>
    </row>
    <row r="13" spans="1:205" x14ac:dyDescent="0.25">
      <c r="A13" s="144"/>
      <c r="C13" s="147" t="s">
        <v>160</v>
      </c>
      <c r="D13" s="146"/>
      <c r="E13" s="146"/>
      <c r="F13" s="146"/>
      <c r="G13" s="115"/>
      <c r="H13" s="162"/>
    </row>
    <row r="14" spans="1:205" x14ac:dyDescent="0.25">
      <c r="A14" s="144" t="s">
        <v>155</v>
      </c>
      <c r="C14" s="145" t="s">
        <v>38</v>
      </c>
      <c r="D14" s="145"/>
      <c r="E14" s="145"/>
      <c r="F14" s="145"/>
      <c r="G14" s="115"/>
      <c r="H14" s="153"/>
      <c r="FB14" s="143" t="str">
        <f>C14</f>
        <v>Ремонтно отделочные работы</v>
      </c>
    </row>
    <row r="15" spans="1:205" x14ac:dyDescent="0.25">
      <c r="C15" s="148" t="s">
        <v>161</v>
      </c>
      <c r="D15" s="149"/>
      <c r="G15" s="115" t="s">
        <v>178</v>
      </c>
      <c r="H15" s="152"/>
    </row>
    <row r="16" spans="1:205" x14ac:dyDescent="0.25">
      <c r="F16" s="115" t="s">
        <v>172</v>
      </c>
      <c r="G16" s="150" t="s">
        <v>179</v>
      </c>
      <c r="H16" s="152" t="s">
        <v>193</v>
      </c>
    </row>
    <row r="17" spans="1:27" x14ac:dyDescent="0.25">
      <c r="G17" s="150" t="s">
        <v>180</v>
      </c>
      <c r="H17" s="154">
        <v>46072</v>
      </c>
    </row>
    <row r="18" spans="1:27" ht="16.5" thickBot="1" x14ac:dyDescent="0.3">
      <c r="G18" s="115" t="s">
        <v>181</v>
      </c>
      <c r="H18" s="155"/>
    </row>
    <row r="19" spans="1:27" ht="10.5" customHeight="1" x14ac:dyDescent="0.25"/>
    <row r="20" spans="1:27" x14ac:dyDescent="0.25">
      <c r="D20" s="156" t="s">
        <v>165</v>
      </c>
      <c r="E20" s="156" t="s">
        <v>168</v>
      </c>
      <c r="G20" s="156" t="s">
        <v>182</v>
      </c>
      <c r="H20" s="156"/>
    </row>
    <row r="21" spans="1:27" ht="16.5" thickBot="1" x14ac:dyDescent="0.3">
      <c r="D21" s="157"/>
      <c r="E21" s="157"/>
      <c r="G21" s="151" t="s">
        <v>183</v>
      </c>
      <c r="H21" s="151" t="s">
        <v>187</v>
      </c>
    </row>
    <row r="22" spans="1:27" ht="16.5" thickBot="1" x14ac:dyDescent="0.3">
      <c r="C22" s="121" t="s">
        <v>162</v>
      </c>
      <c r="D22" s="158">
        <v>1</v>
      </c>
      <c r="E22" s="159">
        <v>46072</v>
      </c>
      <c r="G22" s="160">
        <v>46072</v>
      </c>
      <c r="H22" s="159">
        <v>46072</v>
      </c>
    </row>
    <row r="23" spans="1:27" x14ac:dyDescent="0.25">
      <c r="C23" s="6" t="s">
        <v>163</v>
      </c>
      <c r="D23" s="5"/>
      <c r="E23" s="5"/>
      <c r="F23" s="5"/>
      <c r="G23" s="5"/>
    </row>
    <row r="24" spans="1:27" x14ac:dyDescent="0.25">
      <c r="D24" s="115" t="s">
        <v>166</v>
      </c>
      <c r="E24" s="140">
        <v>82848.600000000006</v>
      </c>
      <c r="F24" s="73" t="s">
        <v>173</v>
      </c>
    </row>
    <row r="25" spans="1:27" x14ac:dyDescent="0.25">
      <c r="A25" s="156" t="s">
        <v>156</v>
      </c>
      <c r="B25" s="156"/>
      <c r="C25" s="156" t="s">
        <v>164</v>
      </c>
      <c r="D25" s="156" t="s">
        <v>167</v>
      </c>
      <c r="E25" s="156" t="s">
        <v>96</v>
      </c>
      <c r="F25" s="156" t="s">
        <v>174</v>
      </c>
      <c r="G25" s="156"/>
      <c r="H25" s="156"/>
    </row>
    <row r="26" spans="1:27" ht="51" customHeight="1" x14ac:dyDescent="0.25">
      <c r="A26" s="118" t="s">
        <v>157</v>
      </c>
      <c r="B26" s="118" t="s">
        <v>158</v>
      </c>
      <c r="C26" s="156"/>
      <c r="D26" s="156"/>
      <c r="E26" s="156"/>
      <c r="F26" s="118" t="s">
        <v>175</v>
      </c>
      <c r="G26" s="118" t="s">
        <v>184</v>
      </c>
      <c r="H26" s="118" t="s">
        <v>188</v>
      </c>
    </row>
    <row r="27" spans="1:27" x14ac:dyDescent="0.25">
      <c r="A27" s="161">
        <v>1</v>
      </c>
      <c r="B27" s="161">
        <v>2</v>
      </c>
      <c r="C27" s="161">
        <v>3</v>
      </c>
      <c r="D27" s="161">
        <v>4</v>
      </c>
      <c r="E27" s="161">
        <v>5</v>
      </c>
      <c r="F27" s="161">
        <v>6</v>
      </c>
      <c r="G27" s="161">
        <v>7</v>
      </c>
      <c r="H27" s="161">
        <v>8</v>
      </c>
    </row>
    <row r="28" spans="1:27" x14ac:dyDescent="0.25">
      <c r="P28" s="3" t="s">
        <v>40</v>
      </c>
      <c r="AA28" s="3" t="s">
        <v>128</v>
      </c>
    </row>
    <row r="29" spans="1:27" x14ac:dyDescent="0.25">
      <c r="A29" s="121">
        <v>1</v>
      </c>
      <c r="B29" s="73" t="s">
        <v>42</v>
      </c>
      <c r="P29" s="3" t="s">
        <v>41</v>
      </c>
      <c r="AA29" s="3" t="s">
        <v>129</v>
      </c>
    </row>
    <row r="30" spans="1:27" x14ac:dyDescent="0.25">
      <c r="A30" s="171" t="s">
        <v>118</v>
      </c>
      <c r="B30" s="172">
        <v>1</v>
      </c>
      <c r="C30" s="166" t="s">
        <v>45</v>
      </c>
      <c r="D30" s="165"/>
      <c r="E30" s="165" t="s">
        <v>46</v>
      </c>
      <c r="F30" s="179">
        <v>79</v>
      </c>
      <c r="G30" s="179">
        <v>59.4</v>
      </c>
      <c r="H30" s="177">
        <f>ROUND(G30*ROUND(F30,2),2)</f>
        <v>4692.6000000000004</v>
      </c>
      <c r="P30" s="3" t="s">
        <v>44</v>
      </c>
      <c r="AA30" s="3" t="s">
        <v>130</v>
      </c>
    </row>
    <row r="31" spans="1:27" x14ac:dyDescent="0.25">
      <c r="A31" s="173" t="s">
        <v>119</v>
      </c>
      <c r="B31" s="174">
        <v>2</v>
      </c>
      <c r="C31" s="168" t="s">
        <v>49</v>
      </c>
      <c r="D31" s="167"/>
      <c r="E31" s="167" t="s">
        <v>46</v>
      </c>
      <c r="F31" s="180">
        <v>79</v>
      </c>
      <c r="G31" s="180">
        <v>72</v>
      </c>
      <c r="H31" s="50">
        <f>ROUND(G31*ROUND(F31,2),2)</f>
        <v>5688</v>
      </c>
      <c r="P31" s="3" t="s">
        <v>44</v>
      </c>
      <c r="AA31" s="3" t="s">
        <v>131</v>
      </c>
    </row>
    <row r="32" spans="1:27" x14ac:dyDescent="0.25">
      <c r="A32" s="173" t="s">
        <v>120</v>
      </c>
      <c r="B32" s="174">
        <v>3</v>
      </c>
      <c r="C32" s="168" t="s">
        <v>51</v>
      </c>
      <c r="D32" s="167"/>
      <c r="E32" s="167" t="s">
        <v>52</v>
      </c>
      <c r="F32" s="180">
        <v>70</v>
      </c>
      <c r="G32" s="180">
        <v>54</v>
      </c>
      <c r="H32" s="50">
        <f>ROUND(G32*ROUND(F32,2),2)</f>
        <v>3780</v>
      </c>
      <c r="P32" s="3" t="s">
        <v>44</v>
      </c>
      <c r="AA32" s="3" t="s">
        <v>132</v>
      </c>
    </row>
    <row r="33" spans="1:27" ht="31.5" x14ac:dyDescent="0.25">
      <c r="A33" s="173" t="s">
        <v>121</v>
      </c>
      <c r="B33" s="174">
        <v>4</v>
      </c>
      <c r="C33" s="168" t="s">
        <v>55</v>
      </c>
      <c r="D33" s="167"/>
      <c r="E33" s="167" t="s">
        <v>46</v>
      </c>
      <c r="F33" s="180">
        <v>79</v>
      </c>
      <c r="G33" s="180">
        <v>396</v>
      </c>
      <c r="H33" s="50">
        <f>ROUND(G33*ROUND(F33,2),2)</f>
        <v>31284</v>
      </c>
      <c r="P33" s="3" t="s">
        <v>44</v>
      </c>
      <c r="AA33" s="3" t="s">
        <v>133</v>
      </c>
    </row>
    <row r="34" spans="1:27" x14ac:dyDescent="0.25">
      <c r="A34" s="173" t="s">
        <v>122</v>
      </c>
      <c r="B34" s="174">
        <v>5</v>
      </c>
      <c r="C34" s="168" t="s">
        <v>57</v>
      </c>
      <c r="D34" s="167"/>
      <c r="E34" s="167" t="s">
        <v>58</v>
      </c>
      <c r="F34" s="180">
        <v>1</v>
      </c>
      <c r="G34" s="180">
        <v>2700</v>
      </c>
      <c r="H34" s="50">
        <f>ROUND(G34*ROUND(F34,2),2)</f>
        <v>2700</v>
      </c>
      <c r="P34" s="3" t="s">
        <v>44</v>
      </c>
      <c r="AA34" s="3" t="s">
        <v>134</v>
      </c>
    </row>
    <row r="35" spans="1:27" x14ac:dyDescent="0.25">
      <c r="A35" s="175" t="s">
        <v>123</v>
      </c>
      <c r="B35" s="176">
        <v>6</v>
      </c>
      <c r="C35" s="170" t="s">
        <v>60</v>
      </c>
      <c r="D35" s="169"/>
      <c r="E35" s="169" t="s">
        <v>46</v>
      </c>
      <c r="F35" s="181">
        <v>79</v>
      </c>
      <c r="G35" s="181">
        <v>306</v>
      </c>
      <c r="H35" s="178">
        <f>ROUND(G35*ROUND(F35,2),2)</f>
        <v>24174</v>
      </c>
      <c r="P35" s="3" t="s">
        <v>44</v>
      </c>
      <c r="AA35" s="3" t="s">
        <v>135</v>
      </c>
    </row>
    <row r="36" spans="1:27" x14ac:dyDescent="0.25">
      <c r="A36" s="73" t="s">
        <v>112</v>
      </c>
      <c r="B36" s="73"/>
      <c r="C36" s="73"/>
      <c r="D36" s="73"/>
      <c r="E36" s="73"/>
      <c r="F36" s="73"/>
      <c r="G36" s="73"/>
      <c r="H36" s="140">
        <f>SUM(H30:H35)</f>
        <v>72318.600000000006</v>
      </c>
      <c r="P36" s="3" t="s">
        <v>62</v>
      </c>
      <c r="AA36" s="3" t="s">
        <v>136</v>
      </c>
    </row>
    <row r="37" spans="1:27" x14ac:dyDescent="0.25">
      <c r="P37" s="3" t="s">
        <v>40</v>
      </c>
      <c r="AA37" s="3" t="s">
        <v>137</v>
      </c>
    </row>
    <row r="38" spans="1:27" x14ac:dyDescent="0.25">
      <c r="A38" s="121">
        <v>2</v>
      </c>
      <c r="B38" s="73" t="s">
        <v>68</v>
      </c>
      <c r="P38" s="3" t="s">
        <v>41</v>
      </c>
      <c r="AA38" s="3" t="s">
        <v>138</v>
      </c>
    </row>
    <row r="39" spans="1:27" x14ac:dyDescent="0.25">
      <c r="A39" s="171" t="s">
        <v>118</v>
      </c>
      <c r="B39" s="172">
        <v>1</v>
      </c>
      <c r="C39" s="166" t="s">
        <v>69</v>
      </c>
      <c r="D39" s="165"/>
      <c r="E39" s="165" t="s">
        <v>52</v>
      </c>
      <c r="F39" s="179">
        <v>15</v>
      </c>
      <c r="G39" s="179">
        <v>108</v>
      </c>
      <c r="H39" s="177">
        <f>ROUND(G39*ROUND(F39,2),2)</f>
        <v>1620</v>
      </c>
      <c r="P39" s="3" t="s">
        <v>44</v>
      </c>
      <c r="AA39" s="3" t="s">
        <v>139</v>
      </c>
    </row>
    <row r="40" spans="1:27" x14ac:dyDescent="0.25">
      <c r="A40" s="175" t="s">
        <v>119</v>
      </c>
      <c r="B40" s="176">
        <v>2</v>
      </c>
      <c r="C40" s="170" t="s">
        <v>70</v>
      </c>
      <c r="D40" s="169"/>
      <c r="E40" s="169" t="s">
        <v>52</v>
      </c>
      <c r="F40" s="181">
        <v>15</v>
      </c>
      <c r="G40" s="181">
        <v>594</v>
      </c>
      <c r="H40" s="178">
        <f>ROUND(G40*ROUND(F40,2),2)</f>
        <v>8910</v>
      </c>
      <c r="P40" s="3" t="s">
        <v>44</v>
      </c>
      <c r="AA40" s="3" t="s">
        <v>140</v>
      </c>
    </row>
    <row r="41" spans="1:27" x14ac:dyDescent="0.25">
      <c r="A41" s="73" t="s">
        <v>112</v>
      </c>
      <c r="B41" s="73"/>
      <c r="C41" s="73"/>
      <c r="D41" s="73"/>
      <c r="E41" s="73"/>
      <c r="F41" s="73"/>
      <c r="G41" s="73"/>
      <c r="H41" s="140">
        <f>SUM(H39:H40)</f>
        <v>10530</v>
      </c>
      <c r="P41" s="3" t="s">
        <v>62</v>
      </c>
      <c r="AA41" s="3" t="s">
        <v>141</v>
      </c>
    </row>
    <row r="42" spans="1:27" x14ac:dyDescent="0.25">
      <c r="P42" s="3" t="s">
        <v>40</v>
      </c>
      <c r="AA42" s="3" t="s">
        <v>142</v>
      </c>
    </row>
    <row r="43" spans="1:27" x14ac:dyDescent="0.25">
      <c r="A43" s="73" t="s">
        <v>113</v>
      </c>
      <c r="B43" s="73"/>
      <c r="C43" s="73"/>
      <c r="D43" s="73"/>
      <c r="E43" s="73"/>
      <c r="F43" s="73"/>
      <c r="G43" s="73"/>
      <c r="H43" s="140">
        <f>SUMIF(P28:P42,"irazd",H28:H42)</f>
        <v>82848.600000000006</v>
      </c>
      <c r="P43" s="3" t="s">
        <v>81</v>
      </c>
      <c r="AA43" s="3" t="s">
        <v>143</v>
      </c>
    </row>
    <row r="44" spans="1:27" hidden="1" x14ac:dyDescent="0.25">
      <c r="A44" s="71" t="s">
        <v>65</v>
      </c>
      <c r="B44" s="71"/>
      <c r="C44" s="71"/>
      <c r="D44" s="71"/>
      <c r="E44" s="71"/>
      <c r="F44" s="71"/>
      <c r="G44" s="71"/>
      <c r="H44" s="72">
        <f>SUMIF(P28:P42,"pr",H28:H42)</f>
        <v>82848.600000000006</v>
      </c>
      <c r="P44" s="3" t="s">
        <v>73</v>
      </c>
      <c r="AA44" s="3" t="s">
        <v>144</v>
      </c>
    </row>
    <row r="45" spans="1:27" hidden="1" x14ac:dyDescent="0.25">
      <c r="A45" s="71" t="s">
        <v>114</v>
      </c>
      <c r="B45" s="71"/>
      <c r="C45" s="71"/>
      <c r="D45" s="71"/>
      <c r="E45" s="71"/>
      <c r="F45" s="71"/>
      <c r="G45" s="71"/>
      <c r="H45" s="72">
        <f>SUMIF(P28:P42,"mat",H28:H42)+SUMIF(P28:P42,"meh",H28:H42)</f>
        <v>0</v>
      </c>
      <c r="P45" s="3" t="s">
        <v>74</v>
      </c>
      <c r="AA45" s="3" t="s">
        <v>145</v>
      </c>
    </row>
    <row r="46" spans="1:27" x14ac:dyDescent="0.25">
      <c r="P46" s="3" t="s">
        <v>82</v>
      </c>
      <c r="AA46" s="3" t="s">
        <v>146</v>
      </c>
    </row>
    <row r="47" spans="1:27" x14ac:dyDescent="0.25">
      <c r="A47" s="1" t="s">
        <v>84</v>
      </c>
      <c r="D47" s="139"/>
      <c r="H47" s="61" t="s">
        <v>39</v>
      </c>
      <c r="P47" s="3" t="s">
        <v>83</v>
      </c>
      <c r="AA47" s="3" t="s">
        <v>147</v>
      </c>
    </row>
    <row r="48" spans="1:27" x14ac:dyDescent="0.25">
      <c r="A48" s="73" t="s">
        <v>189</v>
      </c>
      <c r="B48" s="73"/>
      <c r="C48" s="73"/>
      <c r="D48" s="73"/>
      <c r="E48" s="73"/>
      <c r="F48" s="73"/>
      <c r="G48" s="73"/>
      <c r="H48" s="164">
        <f>ItogoPoRazdelam</f>
        <v>82848.600000000006</v>
      </c>
      <c r="P48" s="3" t="s">
        <v>85</v>
      </c>
      <c r="AA48" s="3" t="s">
        <v>148</v>
      </c>
    </row>
    <row r="49" spans="2:3" ht="54" customHeight="1" x14ac:dyDescent="0.25">
      <c r="B49" s="121" t="s">
        <v>190</v>
      </c>
      <c r="C49" s="1" t="s">
        <v>199</v>
      </c>
    </row>
    <row r="50" spans="2:3" x14ac:dyDescent="0.25">
      <c r="C50" s="123" t="s">
        <v>191</v>
      </c>
    </row>
    <row r="51" spans="2:3" ht="54" customHeight="1" x14ac:dyDescent="0.25">
      <c r="B51" s="121" t="s">
        <v>192</v>
      </c>
      <c r="C51" s="1" t="s">
        <v>196</v>
      </c>
    </row>
    <row r="52" spans="2:3" x14ac:dyDescent="0.25">
      <c r="C52" s="123" t="s">
        <v>191</v>
      </c>
    </row>
  </sheetData>
  <mergeCells count="23">
    <mergeCell ref="D20:D21"/>
    <mergeCell ref="E20:E21"/>
    <mergeCell ref="G20:H20"/>
    <mergeCell ref="A25:B25"/>
    <mergeCell ref="C25:C26"/>
    <mergeCell ref="D25:D26"/>
    <mergeCell ref="E25:E26"/>
    <mergeCell ref="F25:H25"/>
    <mergeCell ref="C23:G23"/>
    <mergeCell ref="C12:F12"/>
    <mergeCell ref="C13:F13"/>
    <mergeCell ref="C14:F14"/>
    <mergeCell ref="C15:D15"/>
    <mergeCell ref="H7:H8"/>
    <mergeCell ref="H9:H10"/>
    <mergeCell ref="H11:H12"/>
    <mergeCell ref="H13:H14"/>
    <mergeCell ref="C6:F6"/>
    <mergeCell ref="C7:F7"/>
    <mergeCell ref="C8:F8"/>
    <mergeCell ref="C9:F9"/>
    <mergeCell ref="C10:F10"/>
    <mergeCell ref="C11:F11"/>
  </mergeCells>
  <pageMargins left="0.7" right="0.7" top="0.75" bottom="0.75" header="0.3" footer="0.3"/>
  <pageSetup paperSize="9" scale="60" fitToHeight="0" orientation="portrait" horizontalDpi="300" verticalDpi="300" r:id="rId1"/>
  <headerFooter>
    <oddFooter>&amp;C&amp;P из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833-1C75-401E-AFD3-9DE8B1ECE249}">
  <sheetPr>
    <tabColor rgb="FF3366FF"/>
    <pageSetUpPr fitToPage="1"/>
  </sheetPr>
  <dimension ref="A1:GW49"/>
  <sheetViews>
    <sheetView showGridLines="0" tabSelected="1" zoomScale="120" zoomScaleNormal="120" workbookViewId="0"/>
  </sheetViews>
  <sheetFormatPr defaultRowHeight="12.75" x14ac:dyDescent="0.2"/>
  <cols>
    <col min="1" max="1" width="1.7109375" style="2" customWidth="1"/>
    <col min="2" max="65" width="1.140625" style="2" customWidth="1"/>
    <col min="66" max="80" width="1.42578125" style="2" customWidth="1"/>
    <col min="81" max="157" width="9.140625" style="2"/>
    <col min="158" max="158" width="58.5703125" style="2" customWidth="1"/>
    <col min="159" max="159" width="33.85546875" style="2" customWidth="1"/>
    <col min="160" max="16384" width="9.140625" style="2"/>
  </cols>
  <sheetData>
    <row r="1" spans="1:205" ht="10.5" customHeight="1" x14ac:dyDescent="0.2">
      <c r="CB1" s="182" t="s">
        <v>201</v>
      </c>
      <c r="GR1" s="4" t="s">
        <v>222</v>
      </c>
      <c r="GS1" s="241" t="s">
        <v>223</v>
      </c>
      <c r="GW1" s="4" t="s">
        <v>39</v>
      </c>
    </row>
    <row r="2" spans="1:205" ht="10.5" customHeight="1" x14ac:dyDescent="0.2">
      <c r="CB2" s="182" t="s">
        <v>170</v>
      </c>
      <c r="GR2" s="242"/>
    </row>
    <row r="3" spans="1:205" ht="10.5" customHeight="1" x14ac:dyDescent="0.2">
      <c r="CB3" s="182" t="s">
        <v>202</v>
      </c>
      <c r="GR3" s="2" t="b">
        <v>1</v>
      </c>
      <c r="GS3" s="240" t="s">
        <v>1</v>
      </c>
      <c r="GT3" s="2" t="b">
        <v>0</v>
      </c>
    </row>
    <row r="4" spans="1:205" x14ac:dyDescent="0.2">
      <c r="GR4" s="243">
        <v>82848.600000000006</v>
      </c>
    </row>
    <row r="5" spans="1:205" ht="13.5" thickBot="1" x14ac:dyDescent="0.25">
      <c r="BN5" s="190" t="s">
        <v>185</v>
      </c>
      <c r="BO5" s="190"/>
      <c r="BP5" s="190"/>
      <c r="BQ5" s="190"/>
      <c r="BR5" s="190"/>
      <c r="BS5" s="190"/>
      <c r="BT5" s="190"/>
      <c r="BU5" s="190"/>
      <c r="BV5" s="190"/>
      <c r="BW5" s="190"/>
      <c r="BX5" s="190"/>
      <c r="BY5" s="190"/>
      <c r="BZ5" s="190"/>
      <c r="CA5" s="190"/>
      <c r="CB5" s="190"/>
      <c r="GR5" s="2" t="s">
        <v>38</v>
      </c>
    </row>
    <row r="6" spans="1:205" x14ac:dyDescent="0.2">
      <c r="BL6" s="201" t="s">
        <v>176</v>
      </c>
      <c r="BN6" s="193" t="s">
        <v>203</v>
      </c>
      <c r="BO6" s="191"/>
      <c r="BP6" s="191"/>
      <c r="BQ6" s="191"/>
      <c r="BR6" s="191"/>
      <c r="BS6" s="191"/>
      <c r="BT6" s="191"/>
      <c r="BU6" s="191"/>
      <c r="BV6" s="191"/>
      <c r="BW6" s="191"/>
      <c r="BX6" s="191"/>
      <c r="BY6" s="191"/>
      <c r="BZ6" s="191"/>
      <c r="CA6" s="191"/>
      <c r="CB6" s="197"/>
      <c r="GR6" s="244" t="s">
        <v>107</v>
      </c>
    </row>
    <row r="7" spans="1:205" x14ac:dyDescent="0.2">
      <c r="A7" s="207" t="s">
        <v>151</v>
      </c>
      <c r="I7" s="204" t="s">
        <v>224</v>
      </c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204"/>
      <c r="AD7" s="204"/>
      <c r="AE7" s="204"/>
      <c r="AF7" s="204"/>
      <c r="AG7" s="204"/>
      <c r="AH7" s="204"/>
      <c r="AI7" s="204"/>
      <c r="AJ7" s="204"/>
      <c r="AK7" s="204"/>
      <c r="AL7" s="204"/>
      <c r="AM7" s="204"/>
      <c r="AN7" s="204"/>
      <c r="AO7" s="204"/>
      <c r="AP7" s="204"/>
      <c r="AQ7" s="204"/>
      <c r="AR7" s="204"/>
      <c r="AS7" s="204"/>
      <c r="AT7" s="204"/>
      <c r="AU7" s="204"/>
      <c r="AV7" s="204"/>
      <c r="AW7" s="204"/>
      <c r="AX7" s="204"/>
      <c r="AY7" s="204"/>
      <c r="AZ7" s="204"/>
      <c r="BA7" s="204"/>
      <c r="BB7" s="204"/>
      <c r="BC7" s="204"/>
      <c r="BD7" s="204"/>
      <c r="BL7" s="201" t="s">
        <v>177</v>
      </c>
      <c r="BN7" s="194" t="s">
        <v>195</v>
      </c>
      <c r="BO7" s="184"/>
      <c r="BP7" s="184"/>
      <c r="BQ7" s="184"/>
      <c r="BR7" s="184"/>
      <c r="BS7" s="184"/>
      <c r="BT7" s="184"/>
      <c r="BU7" s="184"/>
      <c r="BV7" s="184"/>
      <c r="BW7" s="184"/>
      <c r="BX7" s="184"/>
      <c r="BY7" s="184"/>
      <c r="BZ7" s="184"/>
      <c r="CA7" s="184"/>
      <c r="CB7" s="198"/>
      <c r="FB7" s="206" t="str">
        <f>I7</f>
        <v>ЗАО "Заказчик", г. Москва, ул. Самая длинная, д.54, 8 (495) 123-45-67</v>
      </c>
      <c r="GR7" s="2" t="s">
        <v>97</v>
      </c>
    </row>
    <row r="8" spans="1:205" ht="10.5" customHeight="1" x14ac:dyDescent="0.2">
      <c r="I8" s="205" t="s">
        <v>159</v>
      </c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L8" s="201"/>
      <c r="BN8" s="194" t="s">
        <v>195</v>
      </c>
      <c r="BO8" s="184"/>
      <c r="BP8" s="184"/>
      <c r="BQ8" s="184"/>
      <c r="BR8" s="184"/>
      <c r="BS8" s="184"/>
      <c r="BT8" s="184"/>
      <c r="BU8" s="184"/>
      <c r="BV8" s="184"/>
      <c r="BW8" s="184"/>
      <c r="BX8" s="184"/>
      <c r="BY8" s="184"/>
      <c r="BZ8" s="184"/>
      <c r="CA8" s="184"/>
      <c r="CB8" s="198"/>
      <c r="GR8" s="2" t="s">
        <v>97</v>
      </c>
    </row>
    <row r="9" spans="1:205" x14ac:dyDescent="0.2">
      <c r="A9" s="207" t="s">
        <v>152</v>
      </c>
      <c r="I9" s="204" t="s">
        <v>224</v>
      </c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204"/>
      <c r="AT9" s="204"/>
      <c r="AU9" s="204"/>
      <c r="AV9" s="204"/>
      <c r="AW9" s="204"/>
      <c r="AX9" s="204"/>
      <c r="AY9" s="204"/>
      <c r="AZ9" s="204"/>
      <c r="BA9" s="204"/>
      <c r="BB9" s="204"/>
      <c r="BC9" s="204"/>
      <c r="BD9" s="204"/>
      <c r="BL9" s="201" t="s">
        <v>177</v>
      </c>
      <c r="BN9" s="194"/>
      <c r="BO9" s="184"/>
      <c r="BP9" s="184"/>
      <c r="BQ9" s="184"/>
      <c r="BR9" s="184"/>
      <c r="BS9" s="184"/>
      <c r="BT9" s="184"/>
      <c r="BU9" s="184"/>
      <c r="BV9" s="184"/>
      <c r="BW9" s="184"/>
      <c r="BX9" s="184"/>
      <c r="BY9" s="184"/>
      <c r="BZ9" s="184"/>
      <c r="CA9" s="184"/>
      <c r="CB9" s="198"/>
      <c r="FB9" s="206" t="str">
        <f>I9</f>
        <v>ЗАО "Заказчик", г. Москва, ул. Самая длинная, д.54, 8 (495) 123-45-67</v>
      </c>
      <c r="GR9" s="2" t="s">
        <v>101</v>
      </c>
    </row>
    <row r="10" spans="1:205" ht="10.5" customHeight="1" x14ac:dyDescent="0.2">
      <c r="I10" s="205" t="s">
        <v>159</v>
      </c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L10" s="201"/>
      <c r="BN10" s="194" t="s">
        <v>198</v>
      </c>
      <c r="BO10" s="184"/>
      <c r="BP10" s="184"/>
      <c r="BQ10" s="184"/>
      <c r="BR10" s="184"/>
      <c r="BS10" s="184"/>
      <c r="BT10" s="184"/>
      <c r="BU10" s="184"/>
      <c r="BV10" s="184"/>
      <c r="BW10" s="184"/>
      <c r="BX10" s="184"/>
      <c r="BY10" s="184"/>
      <c r="BZ10" s="184"/>
      <c r="CA10" s="184"/>
      <c r="CB10" s="198"/>
    </row>
    <row r="11" spans="1:205" ht="25.5" x14ac:dyDescent="0.2">
      <c r="A11" s="207" t="s">
        <v>153</v>
      </c>
      <c r="I11" s="204" t="s">
        <v>226</v>
      </c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  <c r="AF11" s="204"/>
      <c r="AG11" s="204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204"/>
      <c r="AS11" s="204"/>
      <c r="AT11" s="204"/>
      <c r="AU11" s="204"/>
      <c r="AV11" s="204"/>
      <c r="AW11" s="204"/>
      <c r="AX11" s="204"/>
      <c r="AY11" s="204"/>
      <c r="AZ11" s="204"/>
      <c r="BA11" s="204"/>
      <c r="BB11" s="204"/>
      <c r="BC11" s="204"/>
      <c r="BD11" s="204"/>
      <c r="BL11" s="201" t="s">
        <v>177</v>
      </c>
      <c r="BN11" s="194"/>
      <c r="BO11" s="184"/>
      <c r="BP11" s="184"/>
      <c r="BQ11" s="184"/>
      <c r="BR11" s="184"/>
      <c r="BS11" s="184"/>
      <c r="BT11" s="184"/>
      <c r="BU11" s="184"/>
      <c r="BV11" s="184"/>
      <c r="BW11" s="184"/>
      <c r="BX11" s="184"/>
      <c r="BY11" s="184"/>
      <c r="BZ11" s="184"/>
      <c r="CA11" s="184"/>
      <c r="CB11" s="198"/>
      <c r="FB11" s="206" t="str">
        <f>I11</f>
        <v>ООО РСК ДОММАСТЕР, 	453261, Башкортостан респ., г. Салават, ул. Уфимская, д. 37 к. А , 89174806003</v>
      </c>
    </row>
    <row r="12" spans="1:205" ht="10.5" customHeight="1" x14ac:dyDescent="0.2">
      <c r="I12" s="205" t="s">
        <v>159</v>
      </c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L12" s="201"/>
      <c r="BN12" s="194"/>
      <c r="BO12" s="184"/>
      <c r="BP12" s="184"/>
      <c r="BQ12" s="184"/>
      <c r="BR12" s="184"/>
      <c r="BS12" s="184"/>
      <c r="BT12" s="184"/>
      <c r="BU12" s="184"/>
      <c r="BV12" s="184"/>
      <c r="BW12" s="184"/>
      <c r="BX12" s="184"/>
      <c r="BY12" s="184"/>
      <c r="BZ12" s="184"/>
      <c r="CA12" s="184"/>
      <c r="CB12" s="198"/>
    </row>
    <row r="13" spans="1:205" x14ac:dyDescent="0.2">
      <c r="A13" s="207" t="s">
        <v>154</v>
      </c>
      <c r="I13" s="204" t="s">
        <v>200</v>
      </c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4"/>
      <c r="AX13" s="204"/>
      <c r="AY13" s="204"/>
      <c r="AZ13" s="204"/>
      <c r="BA13" s="204"/>
      <c r="BB13" s="204"/>
      <c r="BC13" s="204"/>
      <c r="BD13" s="204"/>
      <c r="BL13" s="201"/>
      <c r="BN13" s="194"/>
      <c r="BO13" s="184"/>
      <c r="BP13" s="184"/>
      <c r="BQ13" s="184"/>
      <c r="BR13" s="184"/>
      <c r="BS13" s="184"/>
      <c r="BT13" s="184"/>
      <c r="BU13" s="184"/>
      <c r="BV13" s="184"/>
      <c r="BW13" s="184"/>
      <c r="BX13" s="184"/>
      <c r="BY13" s="184"/>
      <c r="BZ13" s="184"/>
      <c r="CA13" s="184"/>
      <c r="CB13" s="198"/>
      <c r="FB13" s="206" t="str">
        <f>I13</f>
        <v>Ремонтно отделочные работы, г. Москва, ул. Самая длинная, д.54</v>
      </c>
    </row>
    <row r="14" spans="1:205" ht="10.5" customHeight="1" x14ac:dyDescent="0.2">
      <c r="I14" s="205" t="s">
        <v>160</v>
      </c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L14" s="201"/>
      <c r="BN14" s="194"/>
      <c r="BO14" s="184"/>
      <c r="BP14" s="184"/>
      <c r="BQ14" s="184"/>
      <c r="BR14" s="184"/>
      <c r="BS14" s="184"/>
      <c r="BT14" s="184"/>
      <c r="BU14" s="184"/>
      <c r="BV14" s="184"/>
      <c r="BW14" s="184"/>
      <c r="BX14" s="184"/>
      <c r="BY14" s="184"/>
      <c r="BZ14" s="184"/>
      <c r="CA14" s="184"/>
      <c r="CB14" s="198"/>
    </row>
    <row r="15" spans="1:205" x14ac:dyDescent="0.2">
      <c r="BL15" s="201" t="s">
        <v>204</v>
      </c>
      <c r="BN15" s="194"/>
      <c r="BO15" s="184"/>
      <c r="BP15" s="184"/>
      <c r="BQ15" s="184"/>
      <c r="BR15" s="184"/>
      <c r="BS15" s="184"/>
      <c r="BT15" s="184"/>
      <c r="BU15" s="184"/>
      <c r="BV15" s="184"/>
      <c r="BW15" s="184"/>
      <c r="BX15" s="184"/>
      <c r="BY15" s="184"/>
      <c r="BZ15" s="184"/>
      <c r="CA15" s="184"/>
      <c r="CB15" s="198"/>
    </row>
    <row r="16" spans="1:205" x14ac:dyDescent="0.2">
      <c r="BF16" s="201" t="s">
        <v>172</v>
      </c>
      <c r="BH16" s="188"/>
      <c r="BI16" s="186"/>
      <c r="BJ16" s="186"/>
      <c r="BK16" s="186"/>
      <c r="BL16" s="202" t="s">
        <v>179</v>
      </c>
      <c r="BM16" s="186"/>
      <c r="BN16" s="194" t="s">
        <v>193</v>
      </c>
      <c r="BO16" s="184"/>
      <c r="BP16" s="184"/>
      <c r="BQ16" s="184"/>
      <c r="BR16" s="184"/>
      <c r="BS16" s="184"/>
      <c r="BT16" s="184"/>
      <c r="BU16" s="184"/>
      <c r="BV16" s="184"/>
      <c r="BW16" s="184"/>
      <c r="BX16" s="184"/>
      <c r="BY16" s="184"/>
      <c r="BZ16" s="184"/>
      <c r="CA16" s="184"/>
      <c r="CB16" s="198"/>
    </row>
    <row r="17" spans="1:80" x14ac:dyDescent="0.2">
      <c r="BH17" s="189"/>
      <c r="BI17" s="187"/>
      <c r="BJ17" s="187"/>
      <c r="BK17" s="187"/>
      <c r="BL17" s="203" t="s">
        <v>180</v>
      </c>
      <c r="BM17" s="187"/>
      <c r="BN17" s="195">
        <v>46072</v>
      </c>
      <c r="BO17" s="185"/>
      <c r="BP17" s="185"/>
      <c r="BQ17" s="185"/>
      <c r="BR17" s="185"/>
      <c r="BS17" s="185"/>
      <c r="BT17" s="185"/>
      <c r="BU17" s="185"/>
      <c r="BV17" s="185"/>
      <c r="BW17" s="185"/>
      <c r="BX17" s="185"/>
      <c r="BY17" s="185"/>
      <c r="BZ17" s="185"/>
      <c r="CA17" s="185"/>
      <c r="CB17" s="199"/>
    </row>
    <row r="18" spans="1:80" ht="13.5" thickBot="1" x14ac:dyDescent="0.25">
      <c r="BL18" s="201" t="s">
        <v>181</v>
      </c>
      <c r="BN18" s="196"/>
      <c r="BO18" s="192"/>
      <c r="BP18" s="192"/>
      <c r="BQ18" s="192"/>
      <c r="BR18" s="192"/>
      <c r="BS18" s="192"/>
      <c r="BT18" s="192"/>
      <c r="BU18" s="192"/>
      <c r="BV18" s="192"/>
      <c r="BW18" s="192"/>
      <c r="BX18" s="192"/>
      <c r="BY18" s="192"/>
      <c r="BZ18" s="192"/>
      <c r="CA18" s="192"/>
      <c r="CB18" s="200"/>
    </row>
    <row r="21" spans="1:80" ht="14.45" customHeight="1" x14ac:dyDescent="0.2">
      <c r="AR21" s="208" t="s">
        <v>165</v>
      </c>
      <c r="AS21" s="208"/>
      <c r="AT21" s="208"/>
      <c r="AU21" s="208"/>
      <c r="AV21" s="208"/>
      <c r="AW21" s="208"/>
      <c r="AX21" s="208"/>
      <c r="AY21" s="208"/>
      <c r="AZ21" s="208"/>
      <c r="BA21" s="208"/>
      <c r="BB21" s="208"/>
      <c r="BC21" s="208" t="s">
        <v>168</v>
      </c>
      <c r="BD21" s="208"/>
      <c r="BE21" s="208"/>
      <c r="BF21" s="208"/>
      <c r="BG21" s="208"/>
      <c r="BH21" s="208"/>
      <c r="BI21" s="208"/>
      <c r="BJ21" s="208"/>
      <c r="BK21" s="208"/>
      <c r="BL21" s="208"/>
      <c r="BM21" s="208"/>
      <c r="BO21" s="208" t="s">
        <v>205</v>
      </c>
      <c r="BP21" s="208"/>
      <c r="BQ21" s="208"/>
      <c r="BR21" s="208"/>
      <c r="BS21" s="208"/>
      <c r="BT21" s="208"/>
      <c r="BU21" s="208"/>
      <c r="BV21" s="208"/>
      <c r="BW21" s="208"/>
      <c r="BX21" s="208"/>
      <c r="BY21" s="208"/>
      <c r="BZ21" s="208"/>
      <c r="CA21" s="208"/>
      <c r="CB21" s="208"/>
    </row>
    <row r="22" spans="1:80" ht="14.45" customHeight="1" thickBot="1" x14ac:dyDescent="0.25">
      <c r="AR22" s="209"/>
      <c r="AS22" s="209"/>
      <c r="AT22" s="209"/>
      <c r="AU22" s="209"/>
      <c r="AV22" s="209"/>
      <c r="AW22" s="209"/>
      <c r="AX22" s="209"/>
      <c r="AY22" s="209"/>
      <c r="AZ22" s="209"/>
      <c r="BA22" s="209"/>
      <c r="BB22" s="209"/>
      <c r="BC22" s="209"/>
      <c r="BD22" s="209"/>
      <c r="BE22" s="209"/>
      <c r="BF22" s="209"/>
      <c r="BG22" s="209"/>
      <c r="BH22" s="209"/>
      <c r="BI22" s="209"/>
      <c r="BJ22" s="209"/>
      <c r="BK22" s="209"/>
      <c r="BL22" s="209"/>
      <c r="BM22" s="209"/>
      <c r="BO22" s="209" t="s">
        <v>183</v>
      </c>
      <c r="BP22" s="209"/>
      <c r="BQ22" s="209"/>
      <c r="BR22" s="209"/>
      <c r="BS22" s="209"/>
      <c r="BT22" s="209"/>
      <c r="BU22" s="209"/>
      <c r="BV22" s="209" t="s">
        <v>187</v>
      </c>
      <c r="BW22" s="209"/>
      <c r="BX22" s="209"/>
      <c r="BY22" s="209"/>
      <c r="BZ22" s="209"/>
      <c r="CA22" s="209"/>
      <c r="CB22" s="209"/>
    </row>
    <row r="23" spans="1:80" ht="14.45" customHeight="1" thickBot="1" x14ac:dyDescent="0.25">
      <c r="AO23" s="215" t="s">
        <v>206</v>
      </c>
      <c r="AR23" s="211">
        <v>1</v>
      </c>
      <c r="AS23" s="210"/>
      <c r="AT23" s="210"/>
      <c r="AU23" s="210"/>
      <c r="AV23" s="210"/>
      <c r="AW23" s="210"/>
      <c r="AX23" s="210"/>
      <c r="AY23" s="210"/>
      <c r="AZ23" s="210"/>
      <c r="BA23" s="210"/>
      <c r="BB23" s="210"/>
      <c r="BC23" s="213">
        <v>46072</v>
      </c>
      <c r="BD23" s="210"/>
      <c r="BE23" s="210"/>
      <c r="BF23" s="210"/>
      <c r="BG23" s="210"/>
      <c r="BH23" s="210"/>
      <c r="BI23" s="210"/>
      <c r="BJ23" s="210"/>
      <c r="BK23" s="210"/>
      <c r="BL23" s="210"/>
      <c r="BM23" s="212"/>
      <c r="BO23" s="214">
        <v>46072</v>
      </c>
      <c r="BP23" s="210"/>
      <c r="BQ23" s="210"/>
      <c r="BR23" s="210"/>
      <c r="BS23" s="210"/>
      <c r="BT23" s="210"/>
      <c r="BU23" s="210"/>
      <c r="BV23" s="213">
        <v>46072</v>
      </c>
      <c r="BW23" s="210"/>
      <c r="BX23" s="210"/>
      <c r="BY23" s="210"/>
      <c r="BZ23" s="210"/>
      <c r="CA23" s="210"/>
      <c r="CB23" s="212"/>
    </row>
    <row r="24" spans="1:80" ht="16.5" customHeight="1" x14ac:dyDescent="0.2">
      <c r="A24" s="216" t="s">
        <v>207</v>
      </c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216"/>
      <c r="AB24" s="216"/>
      <c r="AC24" s="216"/>
      <c r="AD24" s="216"/>
      <c r="AE24" s="216"/>
      <c r="AF24" s="216"/>
      <c r="AG24" s="216"/>
      <c r="AH24" s="216"/>
      <c r="AI24" s="216"/>
      <c r="AJ24" s="216"/>
      <c r="AK24" s="216"/>
      <c r="AL24" s="216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6"/>
      <c r="BN24" s="216"/>
      <c r="BO24" s="216"/>
      <c r="BP24" s="216"/>
      <c r="BQ24" s="216"/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216"/>
    </row>
    <row r="27" spans="1:80" ht="16.5" customHeight="1" x14ac:dyDescent="0.2">
      <c r="A27" s="208" t="s">
        <v>208</v>
      </c>
      <c r="B27" s="208"/>
      <c r="C27" s="208"/>
      <c r="D27" s="208"/>
      <c r="E27" s="208"/>
      <c r="F27" s="208"/>
      <c r="G27" s="208"/>
      <c r="H27" s="208" t="s">
        <v>209</v>
      </c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8"/>
      <c r="AI27" s="208"/>
      <c r="AJ27" s="208"/>
      <c r="AK27" s="208"/>
      <c r="AL27" s="208" t="s">
        <v>185</v>
      </c>
      <c r="AM27" s="208"/>
      <c r="AN27" s="208"/>
      <c r="AO27" s="208"/>
      <c r="AP27" s="208" t="s">
        <v>210</v>
      </c>
      <c r="AQ27" s="208"/>
      <c r="AR27" s="208"/>
      <c r="AS27" s="208"/>
      <c r="AT27" s="208"/>
      <c r="AU27" s="208"/>
      <c r="AV27" s="208"/>
      <c r="AW27" s="208"/>
      <c r="AX27" s="208"/>
      <c r="AY27" s="208"/>
      <c r="AZ27" s="208"/>
      <c r="BA27" s="208"/>
      <c r="BB27" s="208"/>
      <c r="BC27" s="208"/>
      <c r="BD27" s="208"/>
      <c r="BE27" s="208"/>
      <c r="BF27" s="208"/>
      <c r="BG27" s="208"/>
      <c r="BH27" s="208"/>
      <c r="BI27" s="208"/>
      <c r="BJ27" s="208"/>
      <c r="BK27" s="208"/>
      <c r="BL27" s="208"/>
      <c r="BM27" s="208"/>
      <c r="BN27" s="208"/>
      <c r="BO27" s="208"/>
      <c r="BP27" s="208"/>
      <c r="BQ27" s="208"/>
      <c r="BR27" s="208"/>
      <c r="BS27" s="208"/>
      <c r="BT27" s="208"/>
      <c r="BU27" s="208"/>
      <c r="BV27" s="208"/>
      <c r="BW27" s="208"/>
      <c r="BX27" s="208"/>
      <c r="BY27" s="208"/>
      <c r="BZ27" s="208"/>
      <c r="CA27" s="208"/>
      <c r="CB27" s="208"/>
    </row>
    <row r="28" spans="1:80" ht="21" customHeight="1" x14ac:dyDescent="0.2">
      <c r="A28" s="208"/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  <c r="AN28" s="208"/>
      <c r="AO28" s="208"/>
      <c r="AP28" s="208" t="s">
        <v>211</v>
      </c>
      <c r="AQ28" s="208"/>
      <c r="AR28" s="208"/>
      <c r="AS28" s="208"/>
      <c r="AT28" s="208"/>
      <c r="AU28" s="208"/>
      <c r="AV28" s="208"/>
      <c r="AW28" s="208"/>
      <c r="AX28" s="208"/>
      <c r="AY28" s="208"/>
      <c r="AZ28" s="208"/>
      <c r="BA28" s="208"/>
      <c r="BB28" s="208"/>
      <c r="BC28" s="208" t="s">
        <v>212</v>
      </c>
      <c r="BD28" s="208"/>
      <c r="BE28" s="208"/>
      <c r="BF28" s="208"/>
      <c r="BG28" s="208"/>
      <c r="BH28" s="208"/>
      <c r="BI28" s="208"/>
      <c r="BJ28" s="208"/>
      <c r="BK28" s="208"/>
      <c r="BL28" s="208"/>
      <c r="BM28" s="208"/>
      <c r="BN28" s="208"/>
      <c r="BO28" s="208"/>
      <c r="BP28" s="208" t="s">
        <v>213</v>
      </c>
      <c r="BQ28" s="208"/>
      <c r="BR28" s="208"/>
      <c r="BS28" s="208"/>
      <c r="BT28" s="208"/>
      <c r="BU28" s="208"/>
      <c r="BV28" s="208"/>
      <c r="BW28" s="208"/>
      <c r="BX28" s="208"/>
      <c r="BY28" s="208"/>
      <c r="BZ28" s="208"/>
      <c r="CA28" s="208"/>
      <c r="CB28" s="208"/>
    </row>
    <row r="29" spans="1:80" ht="21" customHeight="1" x14ac:dyDescent="0.2">
      <c r="A29" s="208"/>
      <c r="B29" s="208"/>
      <c r="C29" s="208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8"/>
      <c r="AN29" s="208"/>
      <c r="AO29" s="208"/>
      <c r="AP29" s="208"/>
      <c r="AQ29" s="208"/>
      <c r="AR29" s="208"/>
      <c r="AS29" s="208"/>
      <c r="AT29" s="208"/>
      <c r="AU29" s="208"/>
      <c r="AV29" s="208"/>
      <c r="AW29" s="208"/>
      <c r="AX29" s="208"/>
      <c r="AY29" s="208"/>
      <c r="AZ29" s="208"/>
      <c r="BA29" s="208"/>
      <c r="BB29" s="208"/>
      <c r="BC29" s="208"/>
      <c r="BD29" s="208"/>
      <c r="BE29" s="208"/>
      <c r="BF29" s="208"/>
      <c r="BG29" s="208"/>
      <c r="BH29" s="208"/>
      <c r="BI29" s="208"/>
      <c r="BJ29" s="208"/>
      <c r="BK29" s="208"/>
      <c r="BL29" s="208"/>
      <c r="BM29" s="208"/>
      <c r="BN29" s="208"/>
      <c r="BO29" s="208"/>
      <c r="BP29" s="208"/>
      <c r="BQ29" s="208"/>
      <c r="BR29" s="208"/>
      <c r="BS29" s="208"/>
      <c r="BT29" s="208"/>
      <c r="BU29" s="208"/>
      <c r="BV29" s="208"/>
      <c r="BW29" s="208"/>
      <c r="BX29" s="208"/>
      <c r="BY29" s="208"/>
      <c r="BZ29" s="208"/>
      <c r="CA29" s="208"/>
      <c r="CB29" s="208"/>
    </row>
    <row r="30" spans="1:80" ht="14.45" customHeight="1" thickBot="1" x14ac:dyDescent="0.25">
      <c r="A30" s="208">
        <v>1</v>
      </c>
      <c r="B30" s="208"/>
      <c r="C30" s="208"/>
      <c r="D30" s="208"/>
      <c r="E30" s="208"/>
      <c r="F30" s="208"/>
      <c r="G30" s="208"/>
      <c r="H30" s="208">
        <v>2</v>
      </c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9">
        <v>3</v>
      </c>
      <c r="AM30" s="209"/>
      <c r="AN30" s="209"/>
      <c r="AO30" s="209"/>
      <c r="AP30" s="209">
        <v>4</v>
      </c>
      <c r="AQ30" s="209"/>
      <c r="AR30" s="209"/>
      <c r="AS30" s="209"/>
      <c r="AT30" s="209"/>
      <c r="AU30" s="209"/>
      <c r="AV30" s="209"/>
      <c r="AW30" s="209"/>
      <c r="AX30" s="209"/>
      <c r="AY30" s="209"/>
      <c r="AZ30" s="209"/>
      <c r="BA30" s="209"/>
      <c r="BB30" s="209"/>
      <c r="BC30" s="209">
        <v>5</v>
      </c>
      <c r="BD30" s="209"/>
      <c r="BE30" s="209"/>
      <c r="BF30" s="209"/>
      <c r="BG30" s="209"/>
      <c r="BH30" s="209"/>
      <c r="BI30" s="209"/>
      <c r="BJ30" s="209"/>
      <c r="BK30" s="209"/>
      <c r="BL30" s="209"/>
      <c r="BM30" s="209"/>
      <c r="BN30" s="209"/>
      <c r="BO30" s="209"/>
      <c r="BP30" s="209">
        <v>6</v>
      </c>
      <c r="BQ30" s="209"/>
      <c r="BR30" s="209"/>
      <c r="BS30" s="209"/>
      <c r="BT30" s="209"/>
      <c r="BU30" s="209"/>
      <c r="BV30" s="209"/>
      <c r="BW30" s="209"/>
      <c r="BX30" s="209"/>
      <c r="BY30" s="209"/>
      <c r="BZ30" s="209"/>
      <c r="CA30" s="209"/>
      <c r="CB30" s="209"/>
    </row>
    <row r="31" spans="1:80" x14ac:dyDescent="0.2">
      <c r="A31" s="208"/>
      <c r="B31" s="208"/>
      <c r="C31" s="208"/>
      <c r="D31" s="208"/>
      <c r="E31" s="208"/>
      <c r="F31" s="208"/>
      <c r="G31" s="208"/>
      <c r="H31" s="219" t="s">
        <v>214</v>
      </c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30"/>
      <c r="AM31" s="226"/>
      <c r="AN31" s="226"/>
      <c r="AO31" s="226"/>
      <c r="AP31" s="227">
        <f>SUM(AP34:BB34)</f>
        <v>82848.600000000006</v>
      </c>
      <c r="AQ31" s="227"/>
      <c r="AR31" s="227"/>
      <c r="AS31" s="227"/>
      <c r="AT31" s="227"/>
      <c r="AU31" s="227"/>
      <c r="AV31" s="227"/>
      <c r="AW31" s="227"/>
      <c r="AX31" s="227"/>
      <c r="AY31" s="227"/>
      <c r="AZ31" s="227"/>
      <c r="BA31" s="227"/>
      <c r="BB31" s="227"/>
      <c r="BC31" s="227">
        <f>SUM(BC34:BO34)</f>
        <v>82848.600000000006</v>
      </c>
      <c r="BD31" s="227"/>
      <c r="BE31" s="227"/>
      <c r="BF31" s="227"/>
      <c r="BG31" s="227"/>
      <c r="BH31" s="227"/>
      <c r="BI31" s="227"/>
      <c r="BJ31" s="227"/>
      <c r="BK31" s="227"/>
      <c r="BL31" s="227"/>
      <c r="BM31" s="227"/>
      <c r="BN31" s="227"/>
      <c r="BO31" s="227"/>
      <c r="BP31" s="227">
        <f>SUM(BP34:CB34)</f>
        <v>82848.600000000006</v>
      </c>
      <c r="BQ31" s="227"/>
      <c r="BR31" s="227"/>
      <c r="BS31" s="227"/>
      <c r="BT31" s="227"/>
      <c r="BU31" s="227"/>
      <c r="BV31" s="227"/>
      <c r="BW31" s="227"/>
      <c r="BX31" s="227"/>
      <c r="BY31" s="227"/>
      <c r="BZ31" s="227"/>
      <c r="CA31" s="227"/>
      <c r="CB31" s="234"/>
    </row>
    <row r="32" spans="1:80" x14ac:dyDescent="0.2">
      <c r="A32" s="208"/>
      <c r="B32" s="208"/>
      <c r="C32" s="208"/>
      <c r="D32" s="208"/>
      <c r="E32" s="208"/>
      <c r="F32" s="208"/>
      <c r="G32" s="208"/>
      <c r="H32" s="221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31"/>
      <c r="AM32" s="208"/>
      <c r="AN32" s="208"/>
      <c r="AO32" s="20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  <c r="BB32" s="218"/>
      <c r="BC32" s="218"/>
      <c r="BD32" s="218"/>
      <c r="BE32" s="218"/>
      <c r="BF32" s="218"/>
      <c r="BG32" s="218"/>
      <c r="BH32" s="218"/>
      <c r="BI32" s="218"/>
      <c r="BJ32" s="218"/>
      <c r="BK32" s="218"/>
      <c r="BL32" s="218"/>
      <c r="BM32" s="218"/>
      <c r="BN32" s="218"/>
      <c r="BO32" s="218"/>
      <c r="BP32" s="218"/>
      <c r="BQ32" s="218"/>
      <c r="BR32" s="218"/>
      <c r="BS32" s="218"/>
      <c r="BT32" s="218"/>
      <c r="BU32" s="218"/>
      <c r="BV32" s="218"/>
      <c r="BW32" s="218"/>
      <c r="BX32" s="218"/>
      <c r="BY32" s="218"/>
      <c r="BZ32" s="218"/>
      <c r="CA32" s="218"/>
      <c r="CB32" s="235"/>
    </row>
    <row r="33" spans="1:159" x14ac:dyDescent="0.2">
      <c r="A33" s="223"/>
      <c r="B33" s="223"/>
      <c r="C33" s="223"/>
      <c r="D33" s="223"/>
      <c r="E33" s="223"/>
      <c r="F33" s="223"/>
      <c r="G33" s="223"/>
      <c r="H33" s="224" t="s">
        <v>215</v>
      </c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5"/>
      <c r="AL33" s="232"/>
      <c r="AM33" s="223"/>
      <c r="AN33" s="223"/>
      <c r="AO33" s="223"/>
      <c r="AP33" s="217"/>
      <c r="AQ33" s="223"/>
      <c r="AR33" s="223"/>
      <c r="AS33" s="223"/>
      <c r="AT33" s="223"/>
      <c r="AU33" s="223"/>
      <c r="AV33" s="223"/>
      <c r="AW33" s="223"/>
      <c r="AX33" s="223"/>
      <c r="AY33" s="223"/>
      <c r="AZ33" s="223"/>
      <c r="BA33" s="223"/>
      <c r="BB33" s="223"/>
      <c r="BC33" s="217"/>
      <c r="BD33" s="223"/>
      <c r="BE33" s="223"/>
      <c r="BF33" s="223"/>
      <c r="BG33" s="223"/>
      <c r="BH33" s="223"/>
      <c r="BI33" s="223"/>
      <c r="BJ33" s="223"/>
      <c r="BK33" s="223"/>
      <c r="BL33" s="223"/>
      <c r="BM33" s="223"/>
      <c r="BN33" s="223"/>
      <c r="BO33" s="223"/>
      <c r="BP33" s="217"/>
      <c r="BQ33" s="223"/>
      <c r="BR33" s="223"/>
      <c r="BS33" s="223"/>
      <c r="BT33" s="223"/>
      <c r="BU33" s="223"/>
      <c r="BV33" s="223"/>
      <c r="BW33" s="223"/>
      <c r="BX33" s="223"/>
      <c r="BY33" s="223"/>
      <c r="BZ33" s="223"/>
      <c r="CA33" s="223"/>
      <c r="CB33" s="236"/>
    </row>
    <row r="34" spans="1:159" ht="13.5" thickBot="1" x14ac:dyDescent="0.25">
      <c r="A34" s="223">
        <v>1</v>
      </c>
      <c r="B34" s="223"/>
      <c r="C34" s="223"/>
      <c r="D34" s="223"/>
      <c r="E34" s="223"/>
      <c r="F34" s="223"/>
      <c r="G34" s="223"/>
      <c r="H34" s="224" t="s">
        <v>38</v>
      </c>
      <c r="I34" s="225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/>
      <c r="AL34" s="233"/>
      <c r="AM34" s="228"/>
      <c r="AN34" s="228"/>
      <c r="AO34" s="228"/>
      <c r="AP34" s="229">
        <v>82848.600000000006</v>
      </c>
      <c r="AQ34" s="228"/>
      <c r="AR34" s="228"/>
      <c r="AS34" s="228"/>
      <c r="AT34" s="228"/>
      <c r="AU34" s="228"/>
      <c r="AV34" s="228"/>
      <c r="AW34" s="228"/>
      <c r="AX34" s="228"/>
      <c r="AY34" s="228"/>
      <c r="AZ34" s="228"/>
      <c r="BA34" s="228"/>
      <c r="BB34" s="228"/>
      <c r="BC34" s="229">
        <v>82848.600000000006</v>
      </c>
      <c r="BD34" s="228"/>
      <c r="BE34" s="228"/>
      <c r="BF34" s="228"/>
      <c r="BG34" s="228"/>
      <c r="BH34" s="228"/>
      <c r="BI34" s="228"/>
      <c r="BJ34" s="228"/>
      <c r="BK34" s="228"/>
      <c r="BL34" s="228"/>
      <c r="BM34" s="228"/>
      <c r="BN34" s="228"/>
      <c r="BO34" s="228"/>
      <c r="BP34" s="229">
        <v>82848.600000000006</v>
      </c>
      <c r="BQ34" s="228"/>
      <c r="BR34" s="228"/>
      <c r="BS34" s="228"/>
      <c r="BT34" s="228"/>
      <c r="BU34" s="228"/>
      <c r="BV34" s="228"/>
      <c r="BW34" s="228"/>
      <c r="BX34" s="228"/>
      <c r="BY34" s="228"/>
      <c r="BZ34" s="228"/>
      <c r="CA34" s="228"/>
      <c r="CB34" s="237"/>
      <c r="EZ34" s="2" t="s">
        <v>2</v>
      </c>
      <c r="FA34" s="2" t="s">
        <v>150</v>
      </c>
      <c r="FC34" s="206" t="str">
        <f>H34</f>
        <v>Ремонтно отделочные работы</v>
      </c>
    </row>
    <row r="35" spans="1:159" x14ac:dyDescent="0.2">
      <c r="BN35" s="201" t="s">
        <v>216</v>
      </c>
      <c r="BP35" s="245">
        <f>BP31</f>
        <v>82848.600000000006</v>
      </c>
      <c r="BQ35" s="245"/>
      <c r="BR35" s="245"/>
      <c r="BS35" s="245"/>
      <c r="BT35" s="245"/>
      <c r="BU35" s="245"/>
      <c r="BV35" s="245"/>
      <c r="BW35" s="245"/>
      <c r="BX35" s="245"/>
      <c r="BY35" s="245"/>
      <c r="BZ35" s="245"/>
      <c r="CA35" s="245"/>
      <c r="CB35" s="245"/>
    </row>
    <row r="36" spans="1:159" x14ac:dyDescent="0.2">
      <c r="BN36" s="201" t="s">
        <v>217</v>
      </c>
      <c r="BP36" s="246" t="s">
        <v>39</v>
      </c>
      <c r="BQ36" s="238"/>
      <c r="BR36" s="238"/>
      <c r="BS36" s="238"/>
      <c r="BT36" s="238"/>
      <c r="BU36" s="238"/>
      <c r="BV36" s="238"/>
      <c r="BW36" s="238"/>
      <c r="BX36" s="238"/>
      <c r="BY36" s="238"/>
      <c r="BZ36" s="238"/>
      <c r="CA36" s="238"/>
      <c r="CB36" s="238"/>
    </row>
    <row r="37" spans="1:159" x14ac:dyDescent="0.2">
      <c r="BN37" s="215" t="s">
        <v>218</v>
      </c>
      <c r="BP37" s="239">
        <f>ItogBezNDS</f>
        <v>82848.600000000006</v>
      </c>
      <c r="BQ37" s="238"/>
      <c r="BR37" s="238"/>
      <c r="BS37" s="238"/>
      <c r="BT37" s="238"/>
      <c r="BU37" s="238"/>
      <c r="BV37" s="238"/>
      <c r="BW37" s="238"/>
      <c r="BX37" s="238"/>
      <c r="BY37" s="238"/>
      <c r="BZ37" s="238"/>
      <c r="CA37" s="238"/>
      <c r="CB37" s="238"/>
    </row>
    <row r="41" spans="1:159" x14ac:dyDescent="0.2">
      <c r="A41" s="2" t="s">
        <v>219</v>
      </c>
      <c r="V41" s="183" t="s">
        <v>225</v>
      </c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  <c r="BA41" s="183"/>
      <c r="BB41" s="183"/>
      <c r="BC41" s="183"/>
      <c r="BD41" s="183"/>
      <c r="BE41" s="183"/>
      <c r="BF41" s="183"/>
      <c r="BG41" s="183"/>
      <c r="BH41" s="183"/>
      <c r="BI41" s="183"/>
      <c r="BJ41" s="183"/>
      <c r="BK41" s="183"/>
      <c r="BL41" s="183"/>
      <c r="BM41" s="183"/>
      <c r="BN41" s="183"/>
      <c r="BO41" s="183"/>
      <c r="BP41" s="183"/>
      <c r="BQ41" s="183"/>
      <c r="BR41" s="183"/>
      <c r="BS41" s="183"/>
      <c r="BT41" s="183"/>
      <c r="BU41" s="183"/>
      <c r="BV41" s="183"/>
      <c r="BW41" s="183"/>
      <c r="BX41" s="183"/>
      <c r="BY41" s="183"/>
      <c r="BZ41" s="183"/>
      <c r="CA41" s="183"/>
      <c r="CB41" s="183"/>
    </row>
    <row r="43" spans="1:159" x14ac:dyDescent="0.2">
      <c r="F43" s="2" t="s">
        <v>221</v>
      </c>
    </row>
    <row r="47" spans="1:159" x14ac:dyDescent="0.2">
      <c r="A47" s="2" t="s">
        <v>220</v>
      </c>
      <c r="V47" s="183" t="s">
        <v>227</v>
      </c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3"/>
      <c r="BA47" s="183"/>
      <c r="BB47" s="183"/>
      <c r="BC47" s="183"/>
      <c r="BD47" s="183"/>
      <c r="BE47" s="183"/>
      <c r="BF47" s="183"/>
      <c r="BG47" s="183"/>
      <c r="BH47" s="183"/>
      <c r="BI47" s="183"/>
      <c r="BJ47" s="183"/>
      <c r="BK47" s="183"/>
      <c r="BL47" s="183"/>
      <c r="BM47" s="183"/>
      <c r="BN47" s="183"/>
      <c r="BO47" s="183"/>
      <c r="BP47" s="183"/>
      <c r="BQ47" s="183"/>
      <c r="BR47" s="183"/>
      <c r="BS47" s="183"/>
      <c r="BT47" s="183"/>
      <c r="BU47" s="183"/>
      <c r="BV47" s="183"/>
      <c r="BW47" s="183"/>
      <c r="BX47" s="183"/>
      <c r="BY47" s="183"/>
      <c r="BZ47" s="183"/>
      <c r="CA47" s="183"/>
      <c r="CB47" s="183"/>
    </row>
    <row r="49" spans="6:6" x14ac:dyDescent="0.2">
      <c r="F49" s="2" t="s">
        <v>221</v>
      </c>
    </row>
  </sheetData>
  <mergeCells count="64">
    <mergeCell ref="BP35:CB35"/>
    <mergeCell ref="BP36:CB36"/>
    <mergeCell ref="BP37:CB37"/>
    <mergeCell ref="V41:CB41"/>
    <mergeCell ref="V47:CB47"/>
    <mergeCell ref="BP34:CB34"/>
    <mergeCell ref="BC34:BO34"/>
    <mergeCell ref="AP34:BB34"/>
    <mergeCell ref="AL34:AO34"/>
    <mergeCell ref="H34:AK34"/>
    <mergeCell ref="A34:G34"/>
    <mergeCell ref="A31:G32"/>
    <mergeCell ref="BP33:CB33"/>
    <mergeCell ref="BC33:BO33"/>
    <mergeCell ref="AP33:BB33"/>
    <mergeCell ref="AL33:AO33"/>
    <mergeCell ref="H33:AK33"/>
    <mergeCell ref="A33:G33"/>
    <mergeCell ref="AP28:BB29"/>
    <mergeCell ref="AP27:CB27"/>
    <mergeCell ref="AL27:AO29"/>
    <mergeCell ref="H27:AK29"/>
    <mergeCell ref="A27:G29"/>
    <mergeCell ref="BP31:CB32"/>
    <mergeCell ref="BC31:BO32"/>
    <mergeCell ref="AP31:BB32"/>
    <mergeCell ref="AL31:AO32"/>
    <mergeCell ref="H31:AK32"/>
    <mergeCell ref="AR21:BB22"/>
    <mergeCell ref="A24:CB24"/>
    <mergeCell ref="BP30:CB30"/>
    <mergeCell ref="BC30:BO30"/>
    <mergeCell ref="AP30:BB30"/>
    <mergeCell ref="AL30:AO30"/>
    <mergeCell ref="H30:AK30"/>
    <mergeCell ref="A30:G30"/>
    <mergeCell ref="BP28:CB29"/>
    <mergeCell ref="BC28:BO29"/>
    <mergeCell ref="I13:BD13"/>
    <mergeCell ref="I14:BD14"/>
    <mergeCell ref="BV23:CB23"/>
    <mergeCell ref="BO23:BU23"/>
    <mergeCell ref="BC23:BM23"/>
    <mergeCell ref="AR23:BB23"/>
    <mergeCell ref="BV22:CB22"/>
    <mergeCell ref="BO22:BU22"/>
    <mergeCell ref="BO21:CB21"/>
    <mergeCell ref="BC21:BM22"/>
    <mergeCell ref="BN14:CB15"/>
    <mergeCell ref="BN16:CB16"/>
    <mergeCell ref="BN17:CB17"/>
    <mergeCell ref="BN18:CB18"/>
    <mergeCell ref="I7:BD7"/>
    <mergeCell ref="I8:BD8"/>
    <mergeCell ref="I9:BD9"/>
    <mergeCell ref="I10:BD10"/>
    <mergeCell ref="I11:BD11"/>
    <mergeCell ref="I12:BD12"/>
    <mergeCell ref="BN5:CB5"/>
    <mergeCell ref="BN6:CB6"/>
    <mergeCell ref="BN7:CB7"/>
    <mergeCell ref="BN8:CB9"/>
    <mergeCell ref="BN10:CB11"/>
    <mergeCell ref="BN12:CB13"/>
  </mergeCells>
  <pageMargins left="0.7" right="0.7" top="0.75" bottom="0.75" header="0.3" footer="0.3"/>
  <pageSetup paperSize="9" scale="94" fitToHeight="0" orientation="portrait" horizontalDpi="300" verticalDpi="300" r:id="rId1"/>
  <headerFooter>
    <oddFooter>&amp;C&amp;P из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27FC-546D-4255-A7E7-AA2F63CAAE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172</vt:i4>
      </vt:variant>
    </vt:vector>
  </HeadingPairs>
  <TitlesOfParts>
    <vt:vector size="177" baseType="lpstr">
      <vt:lpstr>Дефектовка №1</vt:lpstr>
      <vt:lpstr>Смета №1</vt:lpstr>
      <vt:lpstr>КС-2 №1</vt:lpstr>
      <vt:lpstr>КС-3 №1</vt:lpstr>
      <vt:lpstr>Лист1</vt:lpstr>
      <vt:lpstr>'Смета №1'!AddAddres</vt:lpstr>
      <vt:lpstr>'Смета №1'!AddresObjekta</vt:lpstr>
      <vt:lpstr>'КС-2 №1'!AddresStroyki</vt:lpstr>
      <vt:lpstr>'КС-3 №1'!AddresStroyki</vt:lpstr>
      <vt:lpstr>'Смета №1'!ColIdRow</vt:lpstr>
      <vt:lpstr>'Смета №1'!ColTypeRow</vt:lpstr>
      <vt:lpstr>'КС-2 №1'!DataDog</vt:lpstr>
      <vt:lpstr>'КС-3 №1'!DataDog</vt:lpstr>
      <vt:lpstr>'Смета №1'!DataDogovora</vt:lpstr>
      <vt:lpstr>'Смета №1'!DataDopSogl</vt:lpstr>
      <vt:lpstr>'КС-2 №1'!DataKC2</vt:lpstr>
      <vt:lpstr>'КС-3 №1'!DataKC3</vt:lpstr>
      <vt:lpstr>'Смета №1'!DataPodpisiEstimate</vt:lpstr>
      <vt:lpstr>'Дефектовка №1'!DefName</vt:lpstr>
      <vt:lpstr>'Дефектовка №1'!DocumentType</vt:lpstr>
      <vt:lpstr>'КС-2 №1'!DocumentType</vt:lpstr>
      <vt:lpstr>'КС-3 №1'!DocumentType</vt:lpstr>
      <vt:lpstr>'Смета №1'!DocumentType</vt:lpstr>
      <vt:lpstr>'Смета №1'!Dog_AvansPoDogovoru</vt:lpstr>
      <vt:lpstr>'Смета №1'!Dog_NachaloRabot</vt:lpstr>
      <vt:lpstr>'Смета №1'!Dog_OkonchanieRabot</vt:lpstr>
      <vt:lpstr>'Смета №1'!Dog_ProgressPayment</vt:lpstr>
      <vt:lpstr>'Смета №1'!Dog_SrokGarantii</vt:lpstr>
      <vt:lpstr>'Смета №1'!Dog_SrokPayment</vt:lpstr>
      <vt:lpstr>'Смета №1'!Dog_VariantProgressPayment</vt:lpstr>
      <vt:lpstr>'Смета №1'!Dog_WithAvans</vt:lpstr>
      <vt:lpstr>'КС-2 №1'!FillRowInvestor</vt:lpstr>
      <vt:lpstr>'КС-3 №1'!FillRowInvestor</vt:lpstr>
      <vt:lpstr>'Смета №1'!FormatEstimate</vt:lpstr>
      <vt:lpstr>'Дефектовка №1'!IdDocument</vt:lpstr>
      <vt:lpstr>'КС-2 №1'!IdDocument</vt:lpstr>
      <vt:lpstr>'КС-3 №1'!IdDocument</vt:lpstr>
      <vt:lpstr>'Смета №1'!IdDocument</vt:lpstr>
      <vt:lpstr>'КС-2 №1'!IdKC3</vt:lpstr>
      <vt:lpstr>'КС-2 №1'!IdParentEst</vt:lpstr>
      <vt:lpstr>'Смета №1'!IdPodrjadschika</vt:lpstr>
      <vt:lpstr>'Смета №1'!IdReplacedEstimate</vt:lpstr>
      <vt:lpstr>'Смета №1'!IdZakazschika</vt:lpstr>
      <vt:lpstr>'КС-2 №1'!Investor</vt:lpstr>
      <vt:lpstr>'КС-3 №1'!Investor</vt:lpstr>
      <vt:lpstr>'КС-3 №1'!ItogBezNDS</vt:lpstr>
      <vt:lpstr>'Дефектовка №1'!ItogoMassaMater</vt:lpstr>
      <vt:lpstr>'Дефектовка №1'!ItogoMassaMusora</vt:lpstr>
      <vt:lpstr>'Дефектовка №1'!ItogoPlanStoimostMater</vt:lpstr>
      <vt:lpstr>'Дефектовка №1'!ItogoPlanStoimostRabot</vt:lpstr>
      <vt:lpstr>'Дефектовка №1'!ItogoPoDefektovke</vt:lpstr>
      <vt:lpstr>'Дефектовка №1'!ItogoPoRazdelam</vt:lpstr>
      <vt:lpstr>'КС-2 №1'!ItogoPoRazdelam</vt:lpstr>
      <vt:lpstr>'Смета №1'!ItogoPoRazdelam</vt:lpstr>
      <vt:lpstr>'Дефектовка №1'!ItogoPoRazdelam1</vt:lpstr>
      <vt:lpstr>'Дефектовка №1'!ItogoPoRazdelamDef</vt:lpstr>
      <vt:lpstr>'Дефектовка №1'!ItogoStoimostMaterialov</vt:lpstr>
      <vt:lpstr>'КС-2 №1'!ItogoStoimostMaterialov</vt:lpstr>
      <vt:lpstr>'Смета №1'!ItogoStoimostMaterialov</vt:lpstr>
      <vt:lpstr>'Дефектовка №1'!ItogoStoimostRabot</vt:lpstr>
      <vt:lpstr>'КС-2 №1'!ItogoStoimostRabot</vt:lpstr>
      <vt:lpstr>'Смета №1'!ItogoStoimostRabot</vt:lpstr>
      <vt:lpstr>'Дефектовка №1'!ItogoWork</vt:lpstr>
      <vt:lpstr>'КС-3 №1'!ItogPoAktu</vt:lpstr>
      <vt:lpstr>'Дефектовка №1'!KoeffForMaterial</vt:lpstr>
      <vt:lpstr>'Дефектовка №1'!KoeffForPrice</vt:lpstr>
      <vt:lpstr>'Смета №1'!LabelDataPodpisiPodrjadschika</vt:lpstr>
      <vt:lpstr>'Смета №1'!LabelDataPodpisiZakazschika</vt:lpstr>
      <vt:lpstr>'Смета №1'!LabelEstimate</vt:lpstr>
      <vt:lpstr>'КС-2 №1'!LabelInvestor</vt:lpstr>
      <vt:lpstr>'КС-3 №1'!LabelInvestor</vt:lpstr>
      <vt:lpstr>'Смета №1'!LabelItogoPoSmete</vt:lpstr>
      <vt:lpstr>'Смета №1'!LabelItogoStMater</vt:lpstr>
      <vt:lpstr>'Смета №1'!LabelItogoStRabot</vt:lpstr>
      <vt:lpstr>'Смета №1'!LabelKDogovoru</vt:lpstr>
      <vt:lpstr>'Смета №1'!LabelNaimenovanie</vt:lpstr>
      <vt:lpstr>'Смета №1'!LabelPodpisPodrjadschika</vt:lpstr>
      <vt:lpstr>'Смета №1'!LabelPodpisZakazschika</vt:lpstr>
      <vt:lpstr>'КС-2 №1'!LabelPodrjadchik</vt:lpstr>
      <vt:lpstr>'КС-3 №1'!LabelPodrjadchik</vt:lpstr>
      <vt:lpstr>'Смета №1'!LabelPodrjadschik</vt:lpstr>
      <vt:lpstr>'Смета №1'!LabelPrilogenie</vt:lpstr>
      <vt:lpstr>'КС-2 №1'!LabelStroyka</vt:lpstr>
      <vt:lpstr>'КС-3 №1'!LabelStroyka</vt:lpstr>
      <vt:lpstr>'Смета №1'!LabelUrovenPrice</vt:lpstr>
      <vt:lpstr>'КС-2 №1'!LabelZakazchik</vt:lpstr>
      <vt:lpstr>'КС-3 №1'!LabelZakazchik</vt:lpstr>
      <vt:lpstr>'Смета №1'!LabelZakazschik</vt:lpstr>
      <vt:lpstr>'Дефектовка №1'!LastRowDefektovki</vt:lpstr>
      <vt:lpstr>'Смета №1'!LastRowEstimate</vt:lpstr>
      <vt:lpstr>'КС-2 №1'!LastRowKC2</vt:lpstr>
      <vt:lpstr>'Дефектовка №1'!MassaMater</vt:lpstr>
      <vt:lpstr>'Дефектовка №1'!MassaMusora</vt:lpstr>
      <vt:lpstr>'Смета №1'!MaterialsPlusLimZatr</vt:lpstr>
      <vt:lpstr>'Смета №1'!NaimenovanieRabot</vt:lpstr>
      <vt:lpstr>'Смета №1'!NameObjekt</vt:lpstr>
      <vt:lpstr>'Смета №1'!NamePodrjadschika</vt:lpstr>
      <vt:lpstr>'Дефектовка №1'!NameShablonDef</vt:lpstr>
      <vt:lpstr>'Смета №1'!NameZakazschika</vt:lpstr>
      <vt:lpstr>'КС-2 №1'!NoPrintTelefon</vt:lpstr>
      <vt:lpstr>'КС-3 №1'!NoPrintTelefon</vt:lpstr>
      <vt:lpstr>'КС-2 №1'!NumDog</vt:lpstr>
      <vt:lpstr>'КС-3 №1'!NumDog</vt:lpstr>
      <vt:lpstr>'Смета №1'!NumDogovora</vt:lpstr>
      <vt:lpstr>'КС-2 №1'!NumDok</vt:lpstr>
      <vt:lpstr>'КС-3 №1'!NumDok</vt:lpstr>
      <vt:lpstr>'Смета №1'!NumDopSogl</vt:lpstr>
      <vt:lpstr>'Смета №1'!NumEstimate</vt:lpstr>
      <vt:lpstr>'Смета №1'!NumPril</vt:lpstr>
      <vt:lpstr>'КС-2 №1'!Object</vt:lpstr>
      <vt:lpstr>'КС-2 №1'!OKPOInvestor</vt:lpstr>
      <vt:lpstr>'КС-3 №1'!OKPOInvestor</vt:lpstr>
      <vt:lpstr>'КС-2 №1'!OKPOPodrjadchik</vt:lpstr>
      <vt:lpstr>'КС-3 №1'!OKPOPodrjadchik</vt:lpstr>
      <vt:lpstr>'КС-2 №1'!OKPOZakazchik</vt:lpstr>
      <vt:lpstr>'КС-3 №1'!OKPOZakazchik</vt:lpstr>
      <vt:lpstr>'КС-2 №1'!OKVDPodrjadchik</vt:lpstr>
      <vt:lpstr>'КС-3 №1'!OKVDPodrjadchik</vt:lpstr>
      <vt:lpstr>'КС-2 №1'!OtchPeriod_Po</vt:lpstr>
      <vt:lpstr>'КС-3 №1'!OtchPeriod_Po</vt:lpstr>
      <vt:lpstr>'КС-2 №1'!OtchPeriod_S</vt:lpstr>
      <vt:lpstr>'КС-3 №1'!OtchPeriod_S</vt:lpstr>
      <vt:lpstr>'Дефектовка №1'!PlanStMater</vt:lpstr>
      <vt:lpstr>'Дефектовка №1'!PlanStoimost</vt:lpstr>
      <vt:lpstr>'Дефектовка №1'!PlanStRabot</vt:lpstr>
      <vt:lpstr>'КС-3 №1'!PodpisPodrjadchika</vt:lpstr>
      <vt:lpstr>'КС-3 №1'!PodpisZakazchika</vt:lpstr>
      <vt:lpstr>'КС-2 №1'!Podrjadchik</vt:lpstr>
      <vt:lpstr>'КС-3 №1'!Podrjadchik</vt:lpstr>
      <vt:lpstr>'Дефектовка №1'!PorNumDok</vt:lpstr>
      <vt:lpstr>'Смета №1'!PorNumDok</vt:lpstr>
      <vt:lpstr>'Дефектовка №1'!PredstavlenieNDS</vt:lpstr>
      <vt:lpstr>'КС-2 №1'!PredstavlenieNDS</vt:lpstr>
      <vt:lpstr>'Смета №1'!PredstavlenieNDS</vt:lpstr>
      <vt:lpstr>'КС-2 №1'!Prinjal</vt:lpstr>
      <vt:lpstr>'Смета №1'!PrintSostProv</vt:lpstr>
      <vt:lpstr>'Дефектовка №1'!ProgrammVersion</vt:lpstr>
      <vt:lpstr>'КС-2 №1'!ProgrammVersion</vt:lpstr>
      <vt:lpstr>'КС-3 №1'!ProgrammVersion</vt:lpstr>
      <vt:lpstr>'Смета №1'!ProgrammVersion</vt:lpstr>
      <vt:lpstr>'КС-2 №1'!Sdal</vt:lpstr>
      <vt:lpstr>'Дефектовка №1'!SmStMater</vt:lpstr>
      <vt:lpstr>'Дефектовка №1'!SmStoimost</vt:lpstr>
      <vt:lpstr>'Дефектовка №1'!SmStRabot</vt:lpstr>
      <vt:lpstr>'Дефектовка №1'!StavkaNDS</vt:lpstr>
      <vt:lpstr>'КС-2 №1'!StavkaNDS</vt:lpstr>
      <vt:lpstr>'КС-3 №1'!StavkaNDS</vt:lpstr>
      <vt:lpstr>'Смета №1'!StavkaNDS</vt:lpstr>
      <vt:lpstr>'КС-2 №1'!Stroyka</vt:lpstr>
      <vt:lpstr>'КС-3 №1'!Stroyka</vt:lpstr>
      <vt:lpstr>'КС-2 №1'!Summa_NDS</vt:lpstr>
      <vt:lpstr>'КС-2 №1'!Summa_VsegoPoAktu</vt:lpstr>
      <vt:lpstr>'Дефектовка №1'!SummaNDS</vt:lpstr>
      <vt:lpstr>'КС-3 №1'!SummaNDS</vt:lpstr>
      <vt:lpstr>'Смета №1'!SummaNDS</vt:lpstr>
      <vt:lpstr>'КС-3 №1'!SummaNDS_label</vt:lpstr>
      <vt:lpstr>'КС-2 №1'!SummaPoDogovoru</vt:lpstr>
      <vt:lpstr>'КС-3 №1'!SummaPoDogovoru</vt:lpstr>
      <vt:lpstr>'Смета №1'!TypeEstimate</vt:lpstr>
      <vt:lpstr>'Смета №1'!TypeEstToDogOrDopSogl</vt:lpstr>
      <vt:lpstr>'Дефектовка №1'!VsegoPoSmete</vt:lpstr>
      <vt:lpstr>'Смета №1'!VsegoPoSmete</vt:lpstr>
      <vt:lpstr>'Дефектовка №1'!Work</vt:lpstr>
      <vt:lpstr>'КС-2 №1'!Zakazchik</vt:lpstr>
      <vt:lpstr>'КС-3 №1'!Zakazchik</vt:lpstr>
      <vt:lpstr>'Дефектовка №1'!ВНС</vt:lpstr>
      <vt:lpstr>'Дефектовка №1'!Заголовки_для_печати</vt:lpstr>
      <vt:lpstr>'КС-2 №1'!Заголовки_для_печати</vt:lpstr>
      <vt:lpstr>'Смета №1'!Заголовки_для_печати</vt:lpstr>
      <vt:lpstr>'Дефектовка №1'!ЛНИ</vt:lpstr>
      <vt:lpstr>'Дефектовка №1'!НР</vt:lpstr>
      <vt:lpstr>'Дефектовка №1'!Область_печати</vt:lpstr>
      <vt:lpstr>'КС-2 №1'!Область_печати</vt:lpstr>
      <vt:lpstr>'КС-3 №1'!Область_печати</vt:lpstr>
      <vt:lpstr>'Смета №1'!Область_печати</vt:lpstr>
      <vt:lpstr>'Дефектовка №1'!УЧП</vt:lpstr>
      <vt:lpstr>'Дефектовка №1'!УЧР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2026-02-19T08:21:13Z</dcterms:created>
  <dcterms:modified xsi:type="dcterms:W3CDTF">2026-02-19T08:27:22Z</dcterms:modified>
</cp:coreProperties>
</file>