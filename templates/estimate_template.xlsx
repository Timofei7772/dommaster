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Справочники" sheetId="2" state="hidden" r:id="rId2"/>
    <sheet xmlns:r="http://schemas.openxmlformats.org/officeDocument/2006/relationships" name="Настройки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17"/>
  <sheetViews>
    <sheetView workbookViewId="0">
      <selection activeCell="A1" sqref="A1"/>
    </sheetView>
  </sheetViews>
  <sheetFormatPr baseColWidth="8" defaultRowHeight="15"/>
  <cols>
    <col hidden="1" width="13" customWidth="1" min="7" max="7"/>
    <col hidden="1" width="13" customWidth="1" min="8" max="8"/>
    <col hidden="1" width="13" customWidth="1" min="9" max="9"/>
    <col hidden="1" width="13" customWidth="1" min="10" max="10"/>
  </cols>
  <sheetData>
    <row r="2">
      <c r="B2" t="inlineStr">
        <is>
          <t>ООО "Название компании"</t>
        </is>
      </c>
    </row>
    <row r="3">
      <c r="C3" t="inlineStr">
        <is>
          <t>ЛОКАЛЬНАЯ СМЕТА</t>
        </is>
      </c>
    </row>
    <row r="12">
      <c r="A12" t="inlineStr"/>
      <c r="B12" t="inlineStr">
        <is>
          <t>Наименование работ</t>
        </is>
      </c>
      <c r="C12" t="inlineStr">
        <is>
          <t>Ед. изм.</t>
        </is>
      </c>
      <c r="D12" t="inlineStr">
        <is>
          <t>Кол-во</t>
        </is>
      </c>
      <c r="E12" t="inlineStr">
        <is>
          <t>Цена за ед.</t>
        </is>
      </c>
      <c r="F12" t="inlineStr">
        <is>
          <t>Стоимость</t>
        </is>
      </c>
    </row>
    <row r="13">
      <c r="F13">
        <f>IF($G13="item",IF(OR($D13="",$E13=""),"",ROUND($D13*$E13,2)),"")</f>
        <v/>
      </c>
      <c r="G13" t="inlineStr">
        <is>
          <t>item</t>
        </is>
      </c>
      <c r="H13" t="inlineStr">
        <is>
          <t>Подготовительные работы</t>
        </is>
      </c>
      <c r="I13" t="inlineStr">
        <is>
          <t>demo</t>
        </is>
      </c>
      <c r="J13" t="inlineStr">
        <is>
          <t>row-13</t>
        </is>
      </c>
    </row>
    <row r="14">
      <c r="F14">
        <f>IF($G14="item",IF(OR($D14="",$E14=""),"",ROUND($D14*$E14,2)),"")</f>
        <v/>
      </c>
      <c r="G14" t="inlineStr">
        <is>
          <t>item</t>
        </is>
      </c>
      <c r="H14" t="inlineStr">
        <is>
          <t>Подготовительные работы</t>
        </is>
      </c>
      <c r="I14" t="inlineStr">
        <is>
          <t>demo</t>
        </is>
      </c>
      <c r="J14" t="inlineStr">
        <is>
          <t>row-14</t>
        </is>
      </c>
    </row>
    <row r="15">
      <c r="F15">
        <f>IF($G15="item",IF(OR($D15="",$E15=""),"",ROUND($D15*$E15,2)),"")</f>
        <v/>
      </c>
      <c r="G15" t="inlineStr">
        <is>
          <t>item</t>
        </is>
      </c>
      <c r="H15" t="inlineStr">
        <is>
          <t>Подготовительные работы</t>
        </is>
      </c>
      <c r="I15" t="inlineStr">
        <is>
          <t>demo</t>
        </is>
      </c>
      <c r="J15" t="inlineStr">
        <is>
          <t>row-15</t>
        </is>
      </c>
    </row>
    <row r="16">
      <c r="F16">
        <f>IF($G16="item",IF(OR($D16="",$E16=""),"",ROUND($D16*$E16,2)),"")</f>
        <v/>
      </c>
      <c r="G16" t="inlineStr">
        <is>
          <t>item</t>
        </is>
      </c>
      <c r="H16" t="inlineStr">
        <is>
          <t>Подготовительные работы</t>
        </is>
      </c>
      <c r="I16" t="inlineStr">
        <is>
          <t>demo</t>
        </is>
      </c>
      <c r="J16" t="inlineStr">
        <is>
          <t>row-16</t>
        </is>
      </c>
    </row>
    <row r="17">
      <c r="F17">
        <f>IF($G17="item",IF(OR($D17="",$E17=""),"",ROUND($D17*$E17,2)),"")</f>
        <v/>
      </c>
      <c r="G17" t="inlineStr">
        <is>
          <t>item</t>
        </is>
      </c>
      <c r="H17" t="inlineStr">
        <is>
          <t>Подготовительные работы</t>
        </is>
      </c>
      <c r="I17" t="inlineStr">
        <is>
          <t>demo</t>
        </is>
      </c>
      <c r="J17" t="inlineStr">
        <is>
          <t>row-17</t>
        </is>
      </c>
    </row>
    <row r="18">
      <c r="F18">
        <f>IF($G18="item",IF(OR($D18="",$E18=""),"",ROUND($D18*$E18,2)),"")</f>
        <v/>
      </c>
      <c r="G18" t="inlineStr">
        <is>
          <t>item</t>
        </is>
      </c>
      <c r="H18" t="inlineStr">
        <is>
          <t>Подготовительные работы</t>
        </is>
      </c>
      <c r="I18" t="inlineStr">
        <is>
          <t>demo</t>
        </is>
      </c>
      <c r="J18" t="inlineStr">
        <is>
          <t>row-18</t>
        </is>
      </c>
    </row>
    <row r="19">
      <c r="F19">
        <f>IF($G19="item",IF(OR($D19="",$E19=""),"",ROUND($D19*$E19,2)),"")</f>
        <v/>
      </c>
      <c r="G19" t="inlineStr">
        <is>
          <t>item</t>
        </is>
      </c>
      <c r="H19" t="inlineStr">
        <is>
          <t>Подготовительные работы</t>
        </is>
      </c>
      <c r="I19" t="inlineStr">
        <is>
          <t>demo</t>
        </is>
      </c>
      <c r="J19" t="inlineStr">
        <is>
          <t>row-19</t>
        </is>
      </c>
    </row>
    <row r="20">
      <c r="F20">
        <f>IF($G20="item",IF(OR($D20="",$E20=""),"",ROUND($D20*$E20,2)),"")</f>
        <v/>
      </c>
      <c r="G20" t="inlineStr">
        <is>
          <t>item</t>
        </is>
      </c>
      <c r="H20" t="inlineStr">
        <is>
          <t>Подготовительные работы</t>
        </is>
      </c>
      <c r="I20" t="inlineStr">
        <is>
          <t>demo</t>
        </is>
      </c>
      <c r="J20" t="inlineStr">
        <is>
          <t>row-20</t>
        </is>
      </c>
    </row>
    <row r="21">
      <c r="F21">
        <f>IF($G21="item",IF(OR($D21="",$E21=""),"",ROUND($D21*$E21,2)),"")</f>
        <v/>
      </c>
      <c r="G21" t="inlineStr">
        <is>
          <t>item</t>
        </is>
      </c>
      <c r="H21" t="inlineStr">
        <is>
          <t>Подготовительные работы</t>
        </is>
      </c>
      <c r="I21" t="inlineStr">
        <is>
          <t>demo</t>
        </is>
      </c>
      <c r="J21" t="inlineStr">
        <is>
          <t>row-21</t>
        </is>
      </c>
    </row>
    <row r="22">
      <c r="F22">
        <f>IF($G22="item",IF(OR($D22="",$E22=""),"",ROUND($D22*$E22,2)),"")</f>
        <v/>
      </c>
      <c r="G22" t="inlineStr">
        <is>
          <t>item</t>
        </is>
      </c>
      <c r="H22" t="inlineStr">
        <is>
          <t>Подготовительные работы</t>
        </is>
      </c>
      <c r="I22" t="inlineStr">
        <is>
          <t>demo</t>
        </is>
      </c>
      <c r="J22" t="inlineStr">
        <is>
          <t>row-22</t>
        </is>
      </c>
    </row>
    <row r="23">
      <c r="F23">
        <f>IF($G23="item",IF(OR($D23="",$E23=""),"",ROUND($D23*$E23,2)),"")</f>
        <v/>
      </c>
      <c r="G23" t="inlineStr">
        <is>
          <t>item</t>
        </is>
      </c>
      <c r="H23" t="inlineStr">
        <is>
          <t>Подготовительные работы</t>
        </is>
      </c>
      <c r="I23" t="inlineStr">
        <is>
          <t>demo</t>
        </is>
      </c>
      <c r="J23" t="inlineStr">
        <is>
          <t>row-23</t>
        </is>
      </c>
    </row>
    <row r="24">
      <c r="F24">
        <f>IF($G24="item",IF(OR($D24="",$E24=""),"",ROUND($D24*$E24,2)),"")</f>
        <v/>
      </c>
      <c r="G24" t="inlineStr">
        <is>
          <t>item</t>
        </is>
      </c>
      <c r="H24" t="inlineStr">
        <is>
          <t>Подготовительные работы</t>
        </is>
      </c>
      <c r="I24" t="inlineStr">
        <is>
          <t>demo</t>
        </is>
      </c>
      <c r="J24" t="inlineStr">
        <is>
          <t>row-24</t>
        </is>
      </c>
    </row>
    <row r="25">
      <c r="F25">
        <f>IF($G25="item",IF(OR($D25="",$E25=""),"",ROUND($D25*$E25,2)),"")</f>
        <v/>
      </c>
      <c r="G25" t="inlineStr">
        <is>
          <t>item</t>
        </is>
      </c>
      <c r="H25" t="inlineStr">
        <is>
          <t>Подготовительные работы</t>
        </is>
      </c>
      <c r="I25" t="inlineStr">
        <is>
          <t>demo</t>
        </is>
      </c>
      <c r="J25" t="inlineStr">
        <is>
          <t>row-25</t>
        </is>
      </c>
    </row>
    <row r="26">
      <c r="F26">
        <f>IF($G26="item",IF(OR($D26="",$E26=""),"",ROUND($D26*$E26,2)),"")</f>
        <v/>
      </c>
      <c r="G26" t="inlineStr">
        <is>
          <t>item</t>
        </is>
      </c>
      <c r="H26" t="inlineStr">
        <is>
          <t>Подготовительные работы</t>
        </is>
      </c>
      <c r="I26" t="inlineStr">
        <is>
          <t>demo</t>
        </is>
      </c>
      <c r="J26" t="inlineStr">
        <is>
          <t>row-26</t>
        </is>
      </c>
    </row>
    <row r="27">
      <c r="F27">
        <f>IF($G27="item",IF(OR($D27="",$E27=""),"",ROUND($D27*$E27,2)),"")</f>
        <v/>
      </c>
      <c r="G27" t="inlineStr">
        <is>
          <t>item</t>
        </is>
      </c>
      <c r="H27" t="inlineStr">
        <is>
          <t>Подготовительные работы</t>
        </is>
      </c>
      <c r="I27" t="inlineStr">
        <is>
          <t>demo</t>
        </is>
      </c>
      <c r="J27" t="inlineStr">
        <is>
          <t>row-27</t>
        </is>
      </c>
    </row>
    <row r="28">
      <c r="F28">
        <f>IF($G28="item",IF(OR($D28="",$E28=""),"",ROUND($D28*$E28,2)),"")</f>
        <v/>
      </c>
      <c r="G28" t="inlineStr">
        <is>
          <t>item</t>
        </is>
      </c>
      <c r="H28" t="inlineStr">
        <is>
          <t>Подготовительные работы</t>
        </is>
      </c>
      <c r="I28" t="inlineStr">
        <is>
          <t>demo</t>
        </is>
      </c>
      <c r="J28" t="inlineStr">
        <is>
          <t>row-28</t>
        </is>
      </c>
    </row>
    <row r="29">
      <c r="F29">
        <f>IF($G29="item",IF(OR($D29="",$E29=""),"",ROUND($D29*$E29,2)),"")</f>
        <v/>
      </c>
      <c r="G29" t="inlineStr">
        <is>
          <t>item</t>
        </is>
      </c>
      <c r="H29" t="inlineStr">
        <is>
          <t>Подготовительные работы</t>
        </is>
      </c>
      <c r="I29" t="inlineStr">
        <is>
          <t>demo</t>
        </is>
      </c>
      <c r="J29" t="inlineStr">
        <is>
          <t>row-29</t>
        </is>
      </c>
    </row>
    <row r="30">
      <c r="F30">
        <f>IF($G30="section_total",ROUND(SUMIFS($F$13:$F$500,$G$13:$G$500,"item",$H$13:$H$500,$H30),2),"")</f>
        <v/>
      </c>
      <c r="G30" t="inlineStr">
        <is>
          <t>section_total</t>
        </is>
      </c>
      <c r="H30" t="inlineStr">
        <is>
          <t>Подготовительные работы</t>
        </is>
      </c>
      <c r="I30" t="inlineStr">
        <is>
          <t>demo</t>
        </is>
      </c>
      <c r="J30" t="inlineStr">
        <is>
          <t>row-30</t>
        </is>
      </c>
    </row>
    <row r="31">
      <c r="F31">
        <f>IF($G31="item",IF(OR($D31="",$E31=""),"",ROUND($D31*$E31,2)),"")</f>
        <v/>
      </c>
      <c r="G31" t="inlineStr">
        <is>
          <t>item</t>
        </is>
      </c>
      <c r="H31" t="inlineStr">
        <is>
          <t>Подготовительные работы</t>
        </is>
      </c>
      <c r="I31" t="inlineStr">
        <is>
          <t>demo</t>
        </is>
      </c>
      <c r="J31" t="inlineStr">
        <is>
          <t>row-31</t>
        </is>
      </c>
    </row>
    <row r="32">
      <c r="F32">
        <f>IF($G32="item",IF(OR($D32="",$E32=""),"",ROUND($D32*$E32,2)),"")</f>
        <v/>
      </c>
      <c r="G32" t="inlineStr">
        <is>
          <t>item</t>
        </is>
      </c>
      <c r="H32" t="inlineStr">
        <is>
          <t>Подготовительные работы</t>
        </is>
      </c>
      <c r="I32" t="inlineStr">
        <is>
          <t>demo</t>
        </is>
      </c>
      <c r="J32" t="inlineStr">
        <is>
          <t>row-32</t>
        </is>
      </c>
    </row>
    <row r="33">
      <c r="F33">
        <f>IF($G33="item",IF(OR($D33="",$E33=""),"",ROUND($D33*$E33,2)),"")</f>
        <v/>
      </c>
      <c r="G33" t="inlineStr">
        <is>
          <t>item</t>
        </is>
      </c>
      <c r="H33" t="inlineStr">
        <is>
          <t>Подготовительные работы</t>
        </is>
      </c>
      <c r="I33" t="inlineStr">
        <is>
          <t>demo</t>
        </is>
      </c>
      <c r="J33" t="inlineStr">
        <is>
          <t>row-33</t>
        </is>
      </c>
    </row>
    <row r="34">
      <c r="F34">
        <f>IF($G34="item",IF(OR($D34="",$E34=""),"",ROUND($D34*$E34,2)),"")</f>
        <v/>
      </c>
      <c r="G34" t="inlineStr">
        <is>
          <t>item</t>
        </is>
      </c>
      <c r="H34" t="inlineStr">
        <is>
          <t>Подготовительные работы</t>
        </is>
      </c>
      <c r="I34" t="inlineStr">
        <is>
          <t>demo</t>
        </is>
      </c>
      <c r="J34" t="inlineStr">
        <is>
          <t>row-34</t>
        </is>
      </c>
    </row>
    <row r="35">
      <c r="F35">
        <f>IF($G35="item",IF(OR($D35="",$E35=""),"",ROUND($D35*$E35,2)),"")</f>
        <v/>
      </c>
      <c r="G35" t="inlineStr">
        <is>
          <t>item</t>
        </is>
      </c>
      <c r="H35" t="inlineStr">
        <is>
          <t>Подготовительные работы</t>
        </is>
      </c>
      <c r="I35" t="inlineStr">
        <is>
          <t>demo</t>
        </is>
      </c>
      <c r="J35" t="inlineStr">
        <is>
          <t>row-35</t>
        </is>
      </c>
    </row>
    <row r="36">
      <c r="F36">
        <f>IF($G36="item",IF(OR($D36="",$E36=""),"",ROUND($D36*$E36,2)),"")</f>
        <v/>
      </c>
      <c r="G36" t="inlineStr">
        <is>
          <t>item</t>
        </is>
      </c>
      <c r="H36" t="inlineStr">
        <is>
          <t>Подготовительные работы</t>
        </is>
      </c>
      <c r="I36" t="inlineStr">
        <is>
          <t>demo</t>
        </is>
      </c>
      <c r="J36" t="inlineStr">
        <is>
          <t>row-36</t>
        </is>
      </c>
    </row>
    <row r="37">
      <c r="F37">
        <f>IF($G37="item",IF(OR($D37="",$E37=""),"",ROUND($D37*$E37,2)),"")</f>
        <v/>
      </c>
      <c r="G37" t="inlineStr">
        <is>
          <t>item</t>
        </is>
      </c>
      <c r="H37" t="inlineStr">
        <is>
          <t>Подготовительные работы</t>
        </is>
      </c>
      <c r="I37" t="inlineStr">
        <is>
          <t>demo</t>
        </is>
      </c>
      <c r="J37" t="inlineStr">
        <is>
          <t>row-37</t>
        </is>
      </c>
    </row>
    <row r="38">
      <c r="F38">
        <f>IF($G38="item",IF(OR($D38="",$E38=""),"",ROUND($D38*$E38,2)),"")</f>
        <v/>
      </c>
      <c r="G38" t="inlineStr">
        <is>
          <t>item</t>
        </is>
      </c>
      <c r="H38" t="inlineStr">
        <is>
          <t>Подготовительные работы</t>
        </is>
      </c>
      <c r="I38" t="inlineStr">
        <is>
          <t>demo</t>
        </is>
      </c>
      <c r="J38" t="inlineStr">
        <is>
          <t>row-38</t>
        </is>
      </c>
    </row>
    <row r="39">
      <c r="F39">
        <f>IF($G39="item",IF(OR($D39="",$E39=""),"",ROUND($D39*$E39,2)),"")</f>
        <v/>
      </c>
      <c r="G39" t="inlineStr">
        <is>
          <t>item</t>
        </is>
      </c>
      <c r="H39" t="inlineStr">
        <is>
          <t>Подготовительные работы</t>
        </is>
      </c>
      <c r="I39" t="inlineStr">
        <is>
          <t>demo</t>
        </is>
      </c>
      <c r="J39" t="inlineStr">
        <is>
          <t>row-39</t>
        </is>
      </c>
    </row>
    <row r="40">
      <c r="F40">
        <f>IF($G40="item",IF(OR($D40="",$E40=""),"",ROUND($D40*$E40,2)),"")</f>
        <v/>
      </c>
      <c r="G40" t="inlineStr">
        <is>
          <t>item</t>
        </is>
      </c>
      <c r="H40" t="inlineStr">
        <is>
          <t>Подготовительные работы</t>
        </is>
      </c>
      <c r="I40" t="inlineStr">
        <is>
          <t>demo</t>
        </is>
      </c>
      <c r="J40" t="inlineStr">
        <is>
          <t>row-40</t>
        </is>
      </c>
    </row>
    <row r="41">
      <c r="F41">
        <f>IF($G41="item",IF(OR($D41="",$E41=""),"",ROUND($D41*$E41,2)),"")</f>
        <v/>
      </c>
      <c r="G41" t="inlineStr">
        <is>
          <t>item</t>
        </is>
      </c>
      <c r="H41" t="inlineStr">
        <is>
          <t>Подготовительные работы</t>
        </is>
      </c>
      <c r="I41" t="inlineStr">
        <is>
          <t>demo</t>
        </is>
      </c>
      <c r="J41" t="inlineStr">
        <is>
          <t>row-41</t>
        </is>
      </c>
    </row>
    <row r="42">
      <c r="F42">
        <f>IF($G42="item",IF(OR($D42="",$E42=""),"",ROUND($D42*$E42,2)),"")</f>
        <v/>
      </c>
      <c r="G42" t="inlineStr">
        <is>
          <t>item</t>
        </is>
      </c>
      <c r="H42" t="inlineStr">
        <is>
          <t>Подготовительные работы</t>
        </is>
      </c>
      <c r="I42" t="inlineStr">
        <is>
          <t>demo</t>
        </is>
      </c>
      <c r="J42" t="inlineStr">
        <is>
          <t>row-42</t>
        </is>
      </c>
    </row>
    <row r="43">
      <c r="F43">
        <f>IF($G43="item",IF(OR($D43="",$E43=""),"",ROUND($D43*$E43,2)),"")</f>
        <v/>
      </c>
      <c r="G43" t="inlineStr">
        <is>
          <t>item</t>
        </is>
      </c>
      <c r="H43" t="inlineStr">
        <is>
          <t>Подготовительные работы</t>
        </is>
      </c>
      <c r="I43" t="inlineStr">
        <is>
          <t>demo</t>
        </is>
      </c>
      <c r="J43" t="inlineStr">
        <is>
          <t>row-43</t>
        </is>
      </c>
    </row>
    <row r="44">
      <c r="F44">
        <f>IF($G44="item",IF(OR($D44="",$E44=""),"",ROUND($D44*$E44,2)),"")</f>
        <v/>
      </c>
      <c r="G44" t="inlineStr">
        <is>
          <t>item</t>
        </is>
      </c>
      <c r="H44" t="inlineStr">
        <is>
          <t>Подготовительные работы</t>
        </is>
      </c>
      <c r="I44" t="inlineStr">
        <is>
          <t>demo</t>
        </is>
      </c>
      <c r="J44" t="inlineStr">
        <is>
          <t>row-44</t>
        </is>
      </c>
    </row>
    <row r="45">
      <c r="F45">
        <f>IF($G45="item",IF(OR($D45="",$E45=""),"",ROUND($D45*$E45,2)),"")</f>
        <v/>
      </c>
      <c r="G45" t="inlineStr">
        <is>
          <t>item</t>
        </is>
      </c>
      <c r="H45" t="inlineStr">
        <is>
          <t>Подготовительные работы</t>
        </is>
      </c>
      <c r="I45" t="inlineStr">
        <is>
          <t>demo</t>
        </is>
      </c>
      <c r="J45" t="inlineStr">
        <is>
          <t>row-45</t>
        </is>
      </c>
    </row>
    <row r="46">
      <c r="F46">
        <f>IF($G46="item",IF(OR($D46="",$E46=""),"",ROUND($D46*$E46,2)),"")</f>
        <v/>
      </c>
      <c r="G46" t="inlineStr">
        <is>
          <t>item</t>
        </is>
      </c>
      <c r="H46" t="inlineStr">
        <is>
          <t>Подготовительные работы</t>
        </is>
      </c>
      <c r="I46" t="inlineStr">
        <is>
          <t>demo</t>
        </is>
      </c>
      <c r="J46" t="inlineStr">
        <is>
          <t>row-46</t>
        </is>
      </c>
    </row>
    <row r="47">
      <c r="F47">
        <f>IF($G47="item",IF(OR($D47="",$E47=""),"",ROUND($D47*$E47,2)),"")</f>
        <v/>
      </c>
      <c r="G47" t="inlineStr">
        <is>
          <t>item</t>
        </is>
      </c>
      <c r="H47" t="inlineStr">
        <is>
          <t>Подготовительные работы</t>
        </is>
      </c>
      <c r="I47" t="inlineStr">
        <is>
          <t>demo</t>
        </is>
      </c>
      <c r="J47" t="inlineStr">
        <is>
          <t>row-47</t>
        </is>
      </c>
    </row>
    <row r="48">
      <c r="F48">
        <f>IF($G48="item",IF(OR($D48="",$E48=""),"",ROUND($D48*$E48,2)),"")</f>
        <v/>
      </c>
      <c r="G48" t="inlineStr">
        <is>
          <t>item</t>
        </is>
      </c>
      <c r="H48" t="inlineStr">
        <is>
          <t>Подготовительные работы</t>
        </is>
      </c>
      <c r="I48" t="inlineStr">
        <is>
          <t>demo</t>
        </is>
      </c>
      <c r="J48" t="inlineStr">
        <is>
          <t>row-48</t>
        </is>
      </c>
    </row>
    <row r="49">
      <c r="F49">
        <f>IF($G49="item",IF(OR($D49="",$E49=""),"",ROUND($D49*$E49,2)),"")</f>
        <v/>
      </c>
      <c r="G49" t="inlineStr">
        <is>
          <t>item</t>
        </is>
      </c>
      <c r="H49" t="inlineStr">
        <is>
          <t>Подготовительные работы</t>
        </is>
      </c>
      <c r="I49" t="inlineStr">
        <is>
          <t>demo</t>
        </is>
      </c>
      <c r="J49" t="inlineStr">
        <is>
          <t>row-49</t>
        </is>
      </c>
    </row>
    <row r="50">
      <c r="F50">
        <f>IF($G50="item",IF(OR($D50="",$E50=""),"",ROUND($D50*$E50,2)),"")</f>
        <v/>
      </c>
      <c r="G50" t="inlineStr">
        <is>
          <t>item</t>
        </is>
      </c>
      <c r="H50" t="inlineStr">
        <is>
          <t>Подготовительные работы</t>
        </is>
      </c>
      <c r="I50" t="inlineStr">
        <is>
          <t>demo</t>
        </is>
      </c>
      <c r="J50" t="inlineStr">
        <is>
          <t>row-50</t>
        </is>
      </c>
    </row>
    <row r="51">
      <c r="F51">
        <f>IF($G51="item",IF(OR($D51="",$E51=""),"",ROUND($D51*$E51,2)),"")</f>
        <v/>
      </c>
      <c r="G51" t="inlineStr">
        <is>
          <t>item</t>
        </is>
      </c>
      <c r="H51" t="inlineStr">
        <is>
          <t>Подготовительные работы</t>
        </is>
      </c>
      <c r="I51" t="inlineStr">
        <is>
          <t>demo</t>
        </is>
      </c>
      <c r="J51" t="inlineStr">
        <is>
          <t>row-51</t>
        </is>
      </c>
    </row>
    <row r="52">
      <c r="F52">
        <f>IF($G52="item",IF(OR($D52="",$E52=""),"",ROUND($D52*$E52,2)),"")</f>
        <v/>
      </c>
      <c r="G52" t="inlineStr">
        <is>
          <t>item</t>
        </is>
      </c>
      <c r="H52" t="inlineStr">
        <is>
          <t>Подготовительные работы</t>
        </is>
      </c>
      <c r="I52" t="inlineStr">
        <is>
          <t>demo</t>
        </is>
      </c>
      <c r="J52" t="inlineStr">
        <is>
          <t>row-52</t>
        </is>
      </c>
    </row>
    <row r="53">
      <c r="F53">
        <f>IF($G53="item",IF(OR($D53="",$E53=""),"",ROUND($D53*$E53,2)),"")</f>
        <v/>
      </c>
      <c r="G53" t="inlineStr">
        <is>
          <t>item</t>
        </is>
      </c>
      <c r="H53" t="inlineStr">
        <is>
          <t>Подготовительные работы</t>
        </is>
      </c>
      <c r="I53" t="inlineStr">
        <is>
          <t>demo</t>
        </is>
      </c>
      <c r="J53" t="inlineStr">
        <is>
          <t>row-53</t>
        </is>
      </c>
    </row>
    <row r="54">
      <c r="F54">
        <f>IF($G54="item",IF(OR($D54="",$E54=""),"",ROUND($D54*$E54,2)),"")</f>
        <v/>
      </c>
      <c r="G54" t="inlineStr">
        <is>
          <t>item</t>
        </is>
      </c>
      <c r="H54" t="inlineStr">
        <is>
          <t>Подготовительные работы</t>
        </is>
      </c>
      <c r="I54" t="inlineStr">
        <is>
          <t>demo</t>
        </is>
      </c>
      <c r="J54" t="inlineStr">
        <is>
          <t>row-54</t>
        </is>
      </c>
    </row>
    <row r="55">
      <c r="F55">
        <f>IF($G55="item",IF(OR($D55="",$E55=""),"",ROUND($D55*$E55,2)),"")</f>
        <v/>
      </c>
      <c r="G55" t="inlineStr">
        <is>
          <t>item</t>
        </is>
      </c>
      <c r="H55" t="inlineStr">
        <is>
          <t>Подготовительные работы</t>
        </is>
      </c>
      <c r="I55" t="inlineStr">
        <is>
          <t>demo</t>
        </is>
      </c>
      <c r="J55" t="inlineStr">
        <is>
          <t>row-55</t>
        </is>
      </c>
    </row>
    <row r="56">
      <c r="F56">
        <f>IF($G56="item",IF(OR($D56="",$E56=""),"",ROUND($D56*$E56,2)),"")</f>
        <v/>
      </c>
      <c r="G56" t="inlineStr">
        <is>
          <t>item</t>
        </is>
      </c>
      <c r="H56" t="inlineStr">
        <is>
          <t>Подготовительные работы</t>
        </is>
      </c>
      <c r="I56" t="inlineStr">
        <is>
          <t>demo</t>
        </is>
      </c>
      <c r="J56" t="inlineStr">
        <is>
          <t>row-56</t>
        </is>
      </c>
    </row>
    <row r="57">
      <c r="F57">
        <f>IF($G57="item",IF(OR($D57="",$E57=""),"",ROUND($D57*$E57,2)),"")</f>
        <v/>
      </c>
      <c r="G57" t="inlineStr">
        <is>
          <t>item</t>
        </is>
      </c>
      <c r="H57" t="inlineStr">
        <is>
          <t>Подготовительные работы</t>
        </is>
      </c>
      <c r="I57" t="inlineStr">
        <is>
          <t>demo</t>
        </is>
      </c>
      <c r="J57" t="inlineStr">
        <is>
          <t>row-57</t>
        </is>
      </c>
    </row>
    <row r="58">
      <c r="F58">
        <f>IF($G58="item",IF(OR($D58="",$E58=""),"",ROUND($D58*$E58,2)),"")</f>
        <v/>
      </c>
      <c r="G58" t="inlineStr">
        <is>
          <t>item</t>
        </is>
      </c>
      <c r="H58" t="inlineStr">
        <is>
          <t>Подготовительные работы</t>
        </is>
      </c>
      <c r="I58" t="inlineStr">
        <is>
          <t>demo</t>
        </is>
      </c>
      <c r="J58" t="inlineStr">
        <is>
          <t>row-58</t>
        </is>
      </c>
    </row>
    <row r="59">
      <c r="F59">
        <f>IF($G59="item",IF(OR($D59="",$E59=""),"",ROUND($D59*$E59,2)),"")</f>
        <v/>
      </c>
      <c r="G59" t="inlineStr">
        <is>
          <t>item</t>
        </is>
      </c>
      <c r="H59" t="inlineStr">
        <is>
          <t>Подготовительные работы</t>
        </is>
      </c>
      <c r="I59" t="inlineStr">
        <is>
          <t>demo</t>
        </is>
      </c>
      <c r="J59" t="inlineStr">
        <is>
          <t>row-59</t>
        </is>
      </c>
    </row>
    <row r="60">
      <c r="F60">
        <f>IF($G60="item",IF(OR($D60="",$E60=""),"",ROUND($D60*$E60,2)),"")</f>
        <v/>
      </c>
      <c r="G60" t="inlineStr">
        <is>
          <t>item</t>
        </is>
      </c>
      <c r="H60" t="inlineStr">
        <is>
          <t>Подготовительные работы</t>
        </is>
      </c>
      <c r="I60" t="inlineStr">
        <is>
          <t>demo</t>
        </is>
      </c>
      <c r="J60" t="inlineStr">
        <is>
          <t>row-60</t>
        </is>
      </c>
    </row>
    <row r="61">
      <c r="F61">
        <f>IF($G61="item",IF(OR($D61="",$E61=""),"",ROUND($D61*$E61,2)),"")</f>
        <v/>
      </c>
      <c r="G61" t="inlineStr">
        <is>
          <t>item</t>
        </is>
      </c>
      <c r="H61" t="inlineStr">
        <is>
          <t>Подготовительные работы</t>
        </is>
      </c>
      <c r="I61" t="inlineStr">
        <is>
          <t>demo</t>
        </is>
      </c>
      <c r="J61" t="inlineStr">
        <is>
          <t>row-61</t>
        </is>
      </c>
    </row>
    <row r="62">
      <c r="F62">
        <f>IF($G62="item",IF(OR($D62="",$E62=""),"",ROUND($D62*$E62,2)),"")</f>
        <v/>
      </c>
      <c r="G62" t="inlineStr">
        <is>
          <t>item</t>
        </is>
      </c>
      <c r="H62" t="inlineStr">
        <is>
          <t>Подготовительные работы</t>
        </is>
      </c>
      <c r="I62" t="inlineStr">
        <is>
          <t>demo</t>
        </is>
      </c>
      <c r="J62" t="inlineStr">
        <is>
          <t>row-62</t>
        </is>
      </c>
    </row>
    <row r="63">
      <c r="F63">
        <f>IF($G63="item",IF(OR($D63="",$E63=""),"",ROUND($D63*$E63,2)),"")</f>
        <v/>
      </c>
      <c r="G63" t="inlineStr">
        <is>
          <t>item</t>
        </is>
      </c>
      <c r="H63" t="inlineStr">
        <is>
          <t>Подготовительные работы</t>
        </is>
      </c>
      <c r="I63" t="inlineStr">
        <is>
          <t>demo</t>
        </is>
      </c>
      <c r="J63" t="inlineStr">
        <is>
          <t>row-63</t>
        </is>
      </c>
    </row>
    <row r="64">
      <c r="F64">
        <f>IF($G64="item",IF(OR($D64="",$E64=""),"",ROUND($D64*$E64,2)),"")</f>
        <v/>
      </c>
      <c r="G64" t="inlineStr">
        <is>
          <t>item</t>
        </is>
      </c>
      <c r="H64" t="inlineStr">
        <is>
          <t>Подготовительные работы</t>
        </is>
      </c>
      <c r="I64" t="inlineStr">
        <is>
          <t>demo</t>
        </is>
      </c>
      <c r="J64" t="inlineStr">
        <is>
          <t>row-64</t>
        </is>
      </c>
    </row>
    <row r="65">
      <c r="F65">
        <f>IF($G65="item",IF(OR($D65="",$E65=""),"",ROUND($D65*$E65,2)),"")</f>
        <v/>
      </c>
      <c r="G65" t="inlineStr">
        <is>
          <t>item</t>
        </is>
      </c>
      <c r="H65" t="inlineStr">
        <is>
          <t>Подготовительные работы</t>
        </is>
      </c>
      <c r="I65" t="inlineStr">
        <is>
          <t>demo</t>
        </is>
      </c>
      <c r="J65" t="inlineStr">
        <is>
          <t>row-65</t>
        </is>
      </c>
    </row>
    <row r="66">
      <c r="F66">
        <f>IF($G66="item",IF(OR($D66="",$E66=""),"",ROUND($D66*$E66,2)),"")</f>
        <v/>
      </c>
      <c r="G66" t="inlineStr">
        <is>
          <t>item</t>
        </is>
      </c>
      <c r="H66" t="inlineStr">
        <is>
          <t>Подготовительные работы</t>
        </is>
      </c>
      <c r="I66" t="inlineStr">
        <is>
          <t>demo</t>
        </is>
      </c>
      <c r="J66" t="inlineStr">
        <is>
          <t>row-66</t>
        </is>
      </c>
    </row>
    <row r="67">
      <c r="F67">
        <f>IF($G67="item",IF(OR($D67="",$E67=""),"",ROUND($D67*$E67,2)),"")</f>
        <v/>
      </c>
      <c r="G67" t="inlineStr">
        <is>
          <t>item</t>
        </is>
      </c>
      <c r="H67" t="inlineStr">
        <is>
          <t>Подготовительные работы</t>
        </is>
      </c>
      <c r="I67" t="inlineStr">
        <is>
          <t>demo</t>
        </is>
      </c>
      <c r="J67" t="inlineStr">
        <is>
          <t>row-67</t>
        </is>
      </c>
    </row>
    <row r="68">
      <c r="F68">
        <f>IF($G68="item",IF(OR($D68="",$E68=""),"",ROUND($D68*$E68,2)),"")</f>
        <v/>
      </c>
      <c r="G68" t="inlineStr">
        <is>
          <t>item</t>
        </is>
      </c>
      <c r="H68" t="inlineStr">
        <is>
          <t>Подготовительные работы</t>
        </is>
      </c>
      <c r="I68" t="inlineStr">
        <is>
          <t>demo</t>
        </is>
      </c>
      <c r="J68" t="inlineStr">
        <is>
          <t>row-68</t>
        </is>
      </c>
    </row>
    <row r="69">
      <c r="F69">
        <f>IF($G69="item",IF(OR($D69="",$E69=""),"",ROUND($D69*$E69,2)),"")</f>
        <v/>
      </c>
      <c r="G69" t="inlineStr">
        <is>
          <t>item</t>
        </is>
      </c>
      <c r="H69" t="inlineStr">
        <is>
          <t>Подготовительные работы</t>
        </is>
      </c>
      <c r="I69" t="inlineStr">
        <is>
          <t>demo</t>
        </is>
      </c>
      <c r="J69" t="inlineStr">
        <is>
          <t>row-69</t>
        </is>
      </c>
    </row>
    <row r="70">
      <c r="F70">
        <f>IF($G70="item",IF(OR($D70="",$E70=""),"",ROUND($D70*$E70,2)),"")</f>
        <v/>
      </c>
      <c r="G70" t="inlineStr">
        <is>
          <t>item</t>
        </is>
      </c>
      <c r="H70" t="inlineStr">
        <is>
          <t>Подготовительные работы</t>
        </is>
      </c>
      <c r="I70" t="inlineStr">
        <is>
          <t>demo</t>
        </is>
      </c>
      <c r="J70" t="inlineStr">
        <is>
          <t>row-70</t>
        </is>
      </c>
    </row>
    <row r="71">
      <c r="F71">
        <f>IF($G71="item",IF(OR($D71="",$E71=""),"",ROUND($D71*$E71,2)),"")</f>
        <v/>
      </c>
      <c r="G71" t="inlineStr">
        <is>
          <t>item</t>
        </is>
      </c>
      <c r="H71" t="inlineStr">
        <is>
          <t>Подготовительные работы</t>
        </is>
      </c>
      <c r="I71" t="inlineStr">
        <is>
          <t>demo</t>
        </is>
      </c>
      <c r="J71" t="inlineStr">
        <is>
          <t>row-71</t>
        </is>
      </c>
    </row>
    <row r="72">
      <c r="F72">
        <f>IF($G72="item",IF(OR($D72="",$E72=""),"",ROUND($D72*$E72,2)),"")</f>
        <v/>
      </c>
      <c r="G72" t="inlineStr">
        <is>
          <t>item</t>
        </is>
      </c>
      <c r="H72" t="inlineStr">
        <is>
          <t>Подготовительные работы</t>
        </is>
      </c>
      <c r="I72" t="inlineStr">
        <is>
          <t>demo</t>
        </is>
      </c>
      <c r="J72" t="inlineStr">
        <is>
          <t>row-72</t>
        </is>
      </c>
    </row>
    <row r="73">
      <c r="F73">
        <f>IF($G73="item",IF(OR($D73="",$E73=""),"",ROUND($D73*$E73,2)),"")</f>
        <v/>
      </c>
      <c r="G73" t="inlineStr">
        <is>
          <t>item</t>
        </is>
      </c>
      <c r="H73" t="inlineStr">
        <is>
          <t>Подготовительные работы</t>
        </is>
      </c>
      <c r="I73" t="inlineStr">
        <is>
          <t>demo</t>
        </is>
      </c>
      <c r="J73" t="inlineStr">
        <is>
          <t>row-73</t>
        </is>
      </c>
    </row>
    <row r="74">
      <c r="F74">
        <f>IF($G74="item",IF(OR($D74="",$E74=""),"",ROUND($D74*$E74,2)),"")</f>
        <v/>
      </c>
      <c r="G74" t="inlineStr">
        <is>
          <t>item</t>
        </is>
      </c>
      <c r="H74" t="inlineStr">
        <is>
          <t>Подготовительные работы</t>
        </is>
      </c>
      <c r="I74" t="inlineStr">
        <is>
          <t>demo</t>
        </is>
      </c>
      <c r="J74" t="inlineStr">
        <is>
          <t>row-74</t>
        </is>
      </c>
    </row>
    <row r="75">
      <c r="F75">
        <f>IF($G75="item",IF(OR($D75="",$E75=""),"",ROUND($D75*$E75,2)),"")</f>
        <v/>
      </c>
      <c r="G75" t="inlineStr">
        <is>
          <t>item</t>
        </is>
      </c>
      <c r="H75" t="inlineStr">
        <is>
          <t>Подготовительные работы</t>
        </is>
      </c>
      <c r="I75" t="inlineStr">
        <is>
          <t>demo</t>
        </is>
      </c>
      <c r="J75" t="inlineStr">
        <is>
          <t>row-75</t>
        </is>
      </c>
    </row>
    <row r="76">
      <c r="F76">
        <f>IF($G76="item",IF(OR($D76="",$E76=""),"",ROUND($D76*$E76,2)),"")</f>
        <v/>
      </c>
      <c r="G76" t="inlineStr">
        <is>
          <t>item</t>
        </is>
      </c>
      <c r="H76" t="inlineStr">
        <is>
          <t>Подготовительные работы</t>
        </is>
      </c>
      <c r="I76" t="inlineStr">
        <is>
          <t>demo</t>
        </is>
      </c>
      <c r="J76" t="inlineStr">
        <is>
          <t>row-76</t>
        </is>
      </c>
    </row>
    <row r="77">
      <c r="F77">
        <f>IF($G77="item",IF(OR($D77="",$E77=""),"",ROUND($D77*$E77,2)),"")</f>
        <v/>
      </c>
      <c r="G77" t="inlineStr">
        <is>
          <t>item</t>
        </is>
      </c>
      <c r="H77" t="inlineStr">
        <is>
          <t>Подготовительные работы</t>
        </is>
      </c>
      <c r="I77" t="inlineStr">
        <is>
          <t>demo</t>
        </is>
      </c>
      <c r="J77" t="inlineStr">
        <is>
          <t>row-77</t>
        </is>
      </c>
    </row>
    <row r="78">
      <c r="F78">
        <f>IF($G78="item",IF(OR($D78="",$E78=""),"",ROUND($D78*$E78,2)),"")</f>
        <v/>
      </c>
      <c r="G78" t="inlineStr">
        <is>
          <t>item</t>
        </is>
      </c>
      <c r="H78" t="inlineStr">
        <is>
          <t>Подготовительные работы</t>
        </is>
      </c>
      <c r="I78" t="inlineStr">
        <is>
          <t>demo</t>
        </is>
      </c>
      <c r="J78" t="inlineStr">
        <is>
          <t>row-78</t>
        </is>
      </c>
    </row>
    <row r="79">
      <c r="F79">
        <f>IF($G79="item",IF(OR($D79="",$E79=""),"",ROUND($D79*$E79,2)),"")</f>
        <v/>
      </c>
      <c r="G79" t="inlineStr">
        <is>
          <t>item</t>
        </is>
      </c>
      <c r="H79" t="inlineStr">
        <is>
          <t>Подготовительные работы</t>
        </is>
      </c>
      <c r="I79" t="inlineStr">
        <is>
          <t>demo</t>
        </is>
      </c>
      <c r="J79" t="inlineStr">
        <is>
          <t>row-79</t>
        </is>
      </c>
    </row>
    <row r="80">
      <c r="F80">
        <f>IF($G80="item",IF(OR($D80="",$E80=""),"",ROUND($D80*$E80,2)),"")</f>
        <v/>
      </c>
      <c r="G80" t="inlineStr">
        <is>
          <t>item</t>
        </is>
      </c>
      <c r="H80" t="inlineStr">
        <is>
          <t>Подготовительные работы</t>
        </is>
      </c>
      <c r="I80" t="inlineStr">
        <is>
          <t>demo</t>
        </is>
      </c>
      <c r="J80" t="inlineStr">
        <is>
          <t>row-80</t>
        </is>
      </c>
    </row>
    <row r="81">
      <c r="F81">
        <f>IF($G81="item",IF(OR($D81="",$E81=""),"",ROUND($D81*$E81,2)),"")</f>
        <v/>
      </c>
      <c r="G81" t="inlineStr">
        <is>
          <t>item</t>
        </is>
      </c>
      <c r="H81" t="inlineStr">
        <is>
          <t>Подготовительные работы</t>
        </is>
      </c>
      <c r="I81" t="inlineStr">
        <is>
          <t>demo</t>
        </is>
      </c>
      <c r="J81" t="inlineStr">
        <is>
          <t>row-81</t>
        </is>
      </c>
    </row>
    <row r="82">
      <c r="F82">
        <f>IF($G82="item",IF(OR($D82="",$E82=""),"",ROUND($D82*$E82,2)),"")</f>
        <v/>
      </c>
      <c r="G82" t="inlineStr">
        <is>
          <t>item</t>
        </is>
      </c>
      <c r="H82" t="inlineStr">
        <is>
          <t>Подготовительные работы</t>
        </is>
      </c>
      <c r="I82" t="inlineStr">
        <is>
          <t>demo</t>
        </is>
      </c>
      <c r="J82" t="inlineStr">
        <is>
          <t>row-82</t>
        </is>
      </c>
    </row>
    <row r="83">
      <c r="F83">
        <f>IF($G83="item",IF(OR($D83="",$E83=""),"",ROUND($D83*$E83,2)),"")</f>
        <v/>
      </c>
      <c r="G83" t="inlineStr">
        <is>
          <t>item</t>
        </is>
      </c>
      <c r="H83" t="inlineStr">
        <is>
          <t>Подготовительные работы</t>
        </is>
      </c>
      <c r="I83" t="inlineStr">
        <is>
          <t>demo</t>
        </is>
      </c>
      <c r="J83" t="inlineStr">
        <is>
          <t>row-83</t>
        </is>
      </c>
    </row>
    <row r="84">
      <c r="F84">
        <f>IF($G84="item",IF(OR($D84="",$E84=""),"",ROUND($D84*$E84,2)),"")</f>
        <v/>
      </c>
      <c r="G84" t="inlineStr">
        <is>
          <t>item</t>
        </is>
      </c>
      <c r="H84" t="inlineStr">
        <is>
          <t>Подготовительные работы</t>
        </is>
      </c>
      <c r="I84" t="inlineStr">
        <is>
          <t>demo</t>
        </is>
      </c>
      <c r="J84" t="inlineStr">
        <is>
          <t>row-84</t>
        </is>
      </c>
    </row>
    <row r="85">
      <c r="F85">
        <f>IF($G85="item",IF(OR($D85="",$E85=""),"",ROUND($D85*$E85,2)),"")</f>
        <v/>
      </c>
      <c r="G85" t="inlineStr">
        <is>
          <t>item</t>
        </is>
      </c>
      <c r="H85" t="inlineStr">
        <is>
          <t>Подготовительные работы</t>
        </is>
      </c>
      <c r="I85" t="inlineStr">
        <is>
          <t>demo</t>
        </is>
      </c>
      <c r="J85" t="inlineStr">
        <is>
          <t>row-85</t>
        </is>
      </c>
    </row>
    <row r="86">
      <c r="F86">
        <f>IF($G86="item",IF(OR($D86="",$E86=""),"",ROUND($D86*$E86,2)),"")</f>
        <v/>
      </c>
      <c r="G86" t="inlineStr">
        <is>
          <t>item</t>
        </is>
      </c>
      <c r="H86" t="inlineStr">
        <is>
          <t>Подготовительные работы</t>
        </is>
      </c>
      <c r="I86" t="inlineStr">
        <is>
          <t>demo</t>
        </is>
      </c>
      <c r="J86" t="inlineStr">
        <is>
          <t>row-86</t>
        </is>
      </c>
    </row>
    <row r="87">
      <c r="F87">
        <f>IF($G87="item",IF(OR($D87="",$E87=""),"",ROUND($D87*$E87,2)),"")</f>
        <v/>
      </c>
      <c r="G87" t="inlineStr">
        <is>
          <t>item</t>
        </is>
      </c>
      <c r="H87" t="inlineStr">
        <is>
          <t>Подготовительные работы</t>
        </is>
      </c>
      <c r="I87" t="inlineStr">
        <is>
          <t>demo</t>
        </is>
      </c>
      <c r="J87" t="inlineStr">
        <is>
          <t>row-87</t>
        </is>
      </c>
    </row>
    <row r="88">
      <c r="F88">
        <f>IF($G88="item",IF(OR($D88="",$E88=""),"",ROUND($D88*$E88,2)),"")</f>
        <v/>
      </c>
      <c r="G88" t="inlineStr">
        <is>
          <t>item</t>
        </is>
      </c>
      <c r="H88" t="inlineStr">
        <is>
          <t>Подготовительные работы</t>
        </is>
      </c>
      <c r="I88" t="inlineStr">
        <is>
          <t>demo</t>
        </is>
      </c>
      <c r="J88" t="inlineStr">
        <is>
          <t>row-88</t>
        </is>
      </c>
    </row>
    <row r="89">
      <c r="F89">
        <f>IF($G89="item",IF(OR($D89="",$E89=""),"",ROUND($D89*$E89,2)),"")</f>
        <v/>
      </c>
      <c r="G89" t="inlineStr">
        <is>
          <t>item</t>
        </is>
      </c>
      <c r="H89" t="inlineStr">
        <is>
          <t>Подготовительные работы</t>
        </is>
      </c>
      <c r="I89" t="inlineStr">
        <is>
          <t>demo</t>
        </is>
      </c>
      <c r="J89" t="inlineStr">
        <is>
          <t>row-89</t>
        </is>
      </c>
    </row>
    <row r="90">
      <c r="F90">
        <f>IF($G90="item",IF(OR($D90="",$E90=""),"",ROUND($D90*$E90,2)),"")</f>
        <v/>
      </c>
      <c r="G90" t="inlineStr">
        <is>
          <t>item</t>
        </is>
      </c>
      <c r="H90" t="inlineStr">
        <is>
          <t>Подготовительные работы</t>
        </is>
      </c>
      <c r="I90" t="inlineStr">
        <is>
          <t>demo</t>
        </is>
      </c>
      <c r="J90" t="inlineStr">
        <is>
          <t>row-90</t>
        </is>
      </c>
    </row>
    <row r="91">
      <c r="F91">
        <f>IF($G91="item",IF(OR($D91="",$E91=""),"",ROUND($D91*$E91,2)),"")</f>
        <v/>
      </c>
      <c r="G91" t="inlineStr">
        <is>
          <t>item</t>
        </is>
      </c>
      <c r="H91" t="inlineStr">
        <is>
          <t>Подготовительные работы</t>
        </is>
      </c>
      <c r="I91" t="inlineStr">
        <is>
          <t>demo</t>
        </is>
      </c>
      <c r="J91" t="inlineStr">
        <is>
          <t>row-91</t>
        </is>
      </c>
    </row>
    <row r="92">
      <c r="F92">
        <f>IF($G92="item",IF(OR($D92="",$E92=""),"",ROUND($D92*$E92,2)),"")</f>
        <v/>
      </c>
      <c r="G92" t="inlineStr">
        <is>
          <t>item</t>
        </is>
      </c>
      <c r="H92" t="inlineStr">
        <is>
          <t>Подготовительные работы</t>
        </is>
      </c>
      <c r="I92" t="inlineStr">
        <is>
          <t>demo</t>
        </is>
      </c>
      <c r="J92" t="inlineStr">
        <is>
          <t>row-92</t>
        </is>
      </c>
    </row>
    <row r="93">
      <c r="F93">
        <f>IF($G93="item",IF(OR($D93="",$E93=""),"",ROUND($D93*$E93,2)),"")</f>
        <v/>
      </c>
      <c r="G93" t="inlineStr">
        <is>
          <t>item</t>
        </is>
      </c>
      <c r="H93" t="inlineStr">
        <is>
          <t>Подготовительные работы</t>
        </is>
      </c>
      <c r="I93" t="inlineStr">
        <is>
          <t>demo</t>
        </is>
      </c>
      <c r="J93" t="inlineStr">
        <is>
          <t>row-93</t>
        </is>
      </c>
    </row>
    <row r="94">
      <c r="F94">
        <f>IF($G94="item",IF(OR($D94="",$E94=""),"",ROUND($D94*$E94,2)),"")</f>
        <v/>
      </c>
      <c r="G94" t="inlineStr">
        <is>
          <t>item</t>
        </is>
      </c>
      <c r="H94" t="inlineStr">
        <is>
          <t>Подготовительные работы</t>
        </is>
      </c>
      <c r="I94" t="inlineStr">
        <is>
          <t>demo</t>
        </is>
      </c>
      <c r="J94" t="inlineStr">
        <is>
          <t>row-94</t>
        </is>
      </c>
    </row>
    <row r="95">
      <c r="F95">
        <f>IF($G95="item",IF(OR($D95="",$E95=""),"",ROUND($D95*$E95,2)),"")</f>
        <v/>
      </c>
      <c r="G95" t="inlineStr">
        <is>
          <t>item</t>
        </is>
      </c>
      <c r="H95" t="inlineStr">
        <is>
          <t>Подготовительные работы</t>
        </is>
      </c>
      <c r="I95" t="inlineStr">
        <is>
          <t>demo</t>
        </is>
      </c>
      <c r="J95" t="inlineStr">
        <is>
          <t>row-95</t>
        </is>
      </c>
    </row>
    <row r="96">
      <c r="F96">
        <f>IF($G96="item",IF(OR($D96="",$E96=""),"",ROUND($D96*$E96,2)),"")</f>
        <v/>
      </c>
      <c r="G96" t="inlineStr">
        <is>
          <t>item</t>
        </is>
      </c>
      <c r="H96" t="inlineStr">
        <is>
          <t>Подготовительные работы</t>
        </is>
      </c>
      <c r="I96" t="inlineStr">
        <is>
          <t>demo</t>
        </is>
      </c>
      <c r="J96" t="inlineStr">
        <is>
          <t>row-96</t>
        </is>
      </c>
    </row>
    <row r="97">
      <c r="F97">
        <f>IF($G97="item",IF(OR($D97="",$E97=""),"",ROUND($D97*$E97,2)),"")</f>
        <v/>
      </c>
      <c r="G97" t="inlineStr">
        <is>
          <t>item</t>
        </is>
      </c>
      <c r="H97" t="inlineStr">
        <is>
          <t>Подготовительные работы</t>
        </is>
      </c>
      <c r="I97" t="inlineStr">
        <is>
          <t>demo</t>
        </is>
      </c>
      <c r="J97" t="inlineStr">
        <is>
          <t>row-97</t>
        </is>
      </c>
    </row>
    <row r="98">
      <c r="F98">
        <f>IF($G98="item",IF(OR($D98="",$E98=""),"",ROUND($D98*$E98,2)),"")</f>
        <v/>
      </c>
      <c r="G98" t="inlineStr">
        <is>
          <t>item</t>
        </is>
      </c>
      <c r="H98" t="inlineStr">
        <is>
          <t>Подготовительные работы</t>
        </is>
      </c>
      <c r="I98" t="inlineStr">
        <is>
          <t>demo</t>
        </is>
      </c>
      <c r="J98" t="inlineStr">
        <is>
          <t>row-98</t>
        </is>
      </c>
    </row>
    <row r="99">
      <c r="F99">
        <f>IF($G99="item",IF(OR($D99="",$E99=""),"",ROUND($D99*$E99,2)),"")</f>
        <v/>
      </c>
      <c r="G99" t="inlineStr">
        <is>
          <t>item</t>
        </is>
      </c>
      <c r="H99" t="inlineStr">
        <is>
          <t>Подготовительные работы</t>
        </is>
      </c>
      <c r="I99" t="inlineStr">
        <is>
          <t>demo</t>
        </is>
      </c>
      <c r="J99" t="inlineStr">
        <is>
          <t>row-99</t>
        </is>
      </c>
    </row>
    <row r="100">
      <c r="F100">
        <f>IF($G100="item",IF(OR($D100="",$E100=""),"",ROUND($D100*$E100,2)),"")</f>
        <v/>
      </c>
      <c r="G100" t="inlineStr">
        <is>
          <t>item</t>
        </is>
      </c>
      <c r="H100" t="inlineStr">
        <is>
          <t>Подготовительные работы</t>
        </is>
      </c>
      <c r="I100" t="inlineStr">
        <is>
          <t>demo</t>
        </is>
      </c>
      <c r="J100" t="inlineStr">
        <is>
          <t>row-100</t>
        </is>
      </c>
    </row>
    <row r="101">
      <c r="F101">
        <f>IF($G101="item",IF(OR($D101="",$E101=""),"",ROUND($D101*$E101,2)),"")</f>
        <v/>
      </c>
      <c r="G101" t="inlineStr">
        <is>
          <t>item</t>
        </is>
      </c>
      <c r="H101" t="inlineStr">
        <is>
          <t>Подготовительные работы</t>
        </is>
      </c>
      <c r="I101" t="inlineStr">
        <is>
          <t>demo</t>
        </is>
      </c>
      <c r="J101" t="inlineStr">
        <is>
          <t>row-101</t>
        </is>
      </c>
    </row>
    <row r="102">
      <c r="F102">
        <f>IF($G102="item",IF(OR($D102="",$E102=""),"",ROUND($D102*$E102,2)),"")</f>
        <v/>
      </c>
      <c r="G102" t="inlineStr">
        <is>
          <t>item</t>
        </is>
      </c>
      <c r="H102" t="inlineStr">
        <is>
          <t>Подготовительные работы</t>
        </is>
      </c>
      <c r="I102" t="inlineStr">
        <is>
          <t>demo</t>
        </is>
      </c>
      <c r="J102" t="inlineStr">
        <is>
          <t>row-102</t>
        </is>
      </c>
    </row>
    <row r="103">
      <c r="F103">
        <f>IF($G103="item",IF(OR($D103="",$E103=""),"",ROUND($D103*$E103,2)),"")</f>
        <v/>
      </c>
      <c r="G103" t="inlineStr">
        <is>
          <t>item</t>
        </is>
      </c>
      <c r="H103" t="inlineStr">
        <is>
          <t>Подготовительные работы</t>
        </is>
      </c>
      <c r="I103" t="inlineStr">
        <is>
          <t>demo</t>
        </is>
      </c>
      <c r="J103" t="inlineStr">
        <is>
          <t>row-103</t>
        </is>
      </c>
    </row>
    <row r="104">
      <c r="F104">
        <f>IF($G104="item",IF(OR($D104="",$E104=""),"",ROUND($D104*$E104,2)),"")</f>
        <v/>
      </c>
      <c r="G104" t="inlineStr">
        <is>
          <t>item</t>
        </is>
      </c>
      <c r="H104" t="inlineStr">
        <is>
          <t>Подготовительные работы</t>
        </is>
      </c>
      <c r="I104" t="inlineStr">
        <is>
          <t>demo</t>
        </is>
      </c>
      <c r="J104" t="inlineStr">
        <is>
          <t>row-104</t>
        </is>
      </c>
    </row>
    <row r="105">
      <c r="F105">
        <f>IF($G105="item",IF(OR($D105="",$E105=""),"",ROUND($D105*$E105,2)),"")</f>
        <v/>
      </c>
      <c r="G105" t="inlineStr">
        <is>
          <t>item</t>
        </is>
      </c>
      <c r="H105" t="inlineStr">
        <is>
          <t>Подготовительные работы</t>
        </is>
      </c>
      <c r="I105" t="inlineStr">
        <is>
          <t>demo</t>
        </is>
      </c>
      <c r="J105" t="inlineStr">
        <is>
          <t>row-105</t>
        </is>
      </c>
    </row>
    <row r="106">
      <c r="F106">
        <f>IF($G106="item",IF(OR($D106="",$E106=""),"",ROUND($D106*$E106,2)),"")</f>
        <v/>
      </c>
      <c r="G106" t="inlineStr">
        <is>
          <t>item</t>
        </is>
      </c>
      <c r="H106" t="inlineStr">
        <is>
          <t>Подготовительные работы</t>
        </is>
      </c>
      <c r="I106" t="inlineStr">
        <is>
          <t>demo</t>
        </is>
      </c>
      <c r="J106" t="inlineStr">
        <is>
          <t>row-106</t>
        </is>
      </c>
    </row>
    <row r="107">
      <c r="F107">
        <f>IF($G107="item",IF(OR($D107="",$E107=""),"",ROUND($D107*$E107,2)),"")</f>
        <v/>
      </c>
      <c r="G107" t="inlineStr">
        <is>
          <t>item</t>
        </is>
      </c>
      <c r="H107" t="inlineStr">
        <is>
          <t>Подготовительные работы</t>
        </is>
      </c>
      <c r="I107" t="inlineStr">
        <is>
          <t>demo</t>
        </is>
      </c>
      <c r="J107" t="inlineStr">
        <is>
          <t>row-107</t>
        </is>
      </c>
    </row>
    <row r="108">
      <c r="F108">
        <f>IF($G108="item",IF(OR($D108="",$E108=""),"",ROUND($D108*$E108,2)),"")</f>
        <v/>
      </c>
      <c r="G108" t="inlineStr">
        <is>
          <t>item</t>
        </is>
      </c>
      <c r="H108" t="inlineStr">
        <is>
          <t>Подготовительные работы</t>
        </is>
      </c>
      <c r="I108" t="inlineStr">
        <is>
          <t>demo</t>
        </is>
      </c>
      <c r="J108" t="inlineStr">
        <is>
          <t>row-108</t>
        </is>
      </c>
    </row>
    <row r="109">
      <c r="F109">
        <f>IF($G109="item",IF(OR($D109="",$E109=""),"",ROUND($D109*$E109,2)),"")</f>
        <v/>
      </c>
      <c r="G109" t="inlineStr">
        <is>
          <t>item</t>
        </is>
      </c>
      <c r="H109" t="inlineStr">
        <is>
          <t>Подготовительные работы</t>
        </is>
      </c>
      <c r="I109" t="inlineStr">
        <is>
          <t>demo</t>
        </is>
      </c>
      <c r="J109" t="inlineStr">
        <is>
          <t>row-109</t>
        </is>
      </c>
    </row>
    <row r="110">
      <c r="F110">
        <f>IF($G110="item",IF(OR($D110="",$E110=""),"",ROUND($D110*$E110,2)),"")</f>
        <v/>
      </c>
      <c r="G110" t="inlineStr">
        <is>
          <t>item</t>
        </is>
      </c>
      <c r="H110" t="inlineStr">
        <is>
          <t>Подготовительные работы</t>
        </is>
      </c>
      <c r="I110" t="inlineStr">
        <is>
          <t>demo</t>
        </is>
      </c>
      <c r="J110" t="inlineStr">
        <is>
          <t>row-110</t>
        </is>
      </c>
    </row>
    <row r="111">
      <c r="F111">
        <f>IF($G111="item",IF(OR($D111="",$E111=""),"",ROUND($D111*$E111,2)),"")</f>
        <v/>
      </c>
      <c r="G111" t="inlineStr">
        <is>
          <t>item</t>
        </is>
      </c>
      <c r="H111" t="inlineStr">
        <is>
          <t>Подготовительные работы</t>
        </is>
      </c>
      <c r="I111" t="inlineStr">
        <is>
          <t>demo</t>
        </is>
      </c>
      <c r="J111" t="inlineStr">
        <is>
          <t>row-111</t>
        </is>
      </c>
    </row>
    <row r="112">
      <c r="F112">
        <f>IF($G112="item",IF(OR($D112="",$E112=""),"",ROUND($D112*$E112,2)),"")</f>
        <v/>
      </c>
      <c r="G112" t="inlineStr">
        <is>
          <t>item</t>
        </is>
      </c>
      <c r="H112" t="inlineStr">
        <is>
          <t>Подготовительные работы</t>
        </is>
      </c>
      <c r="I112" t="inlineStr">
        <is>
          <t>demo</t>
        </is>
      </c>
      <c r="J112" t="inlineStr">
        <is>
          <t>row-112</t>
        </is>
      </c>
    </row>
    <row r="114">
      <c r="E114" t="inlineStr">
        <is>
          <t>Итого по разделам</t>
        </is>
      </c>
      <c r="F114">
        <f>ROUND(SUMIFS($F$13:$F$500,$G$13:$G$500,"section_total"),2)</f>
        <v/>
      </c>
    </row>
    <row r="115">
      <c r="E115" t="inlineStr">
        <is>
          <t>Итого без НДС</t>
        </is>
      </c>
      <c r="F115">
        <f>IF(Настройки!$B$1,$F$114,ROUND($F$117-$F$116,2))</f>
        <v/>
      </c>
    </row>
    <row r="116">
      <c r="E116" t="inlineStr">
        <is>
          <t>НДС</t>
        </is>
      </c>
      <c r="F116">
        <f>IF(Настройки!$B$1,ROUND($F$115*Настройки!$B$2,2),ROUND($F$117-($F$117/(1+Настройки!$B$2)),2))</f>
        <v/>
      </c>
    </row>
    <row r="117">
      <c r="E117" t="inlineStr">
        <is>
          <t>Всего по смете</t>
        </is>
      </c>
      <c r="F117">
        <f>IF(Настройки!$B$1,ROUND($F$115+$F$116,2),$F$114)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keywords_csv</t>
        </is>
      </c>
      <c r="C1" t="inlineStr">
        <is>
          <t>section_name</t>
        </is>
      </c>
      <c r="D1" t="inlineStr">
        <is>
          <t>section_code</t>
        </is>
      </c>
      <c r="E1" t="inlineStr">
        <is>
          <t>room_type</t>
        </is>
      </c>
      <c r="F1" t="inlineStr">
        <is>
          <t>is_active</t>
        </is>
      </c>
    </row>
    <row r="2">
      <c r="A2" t="n">
        <v>10</v>
      </c>
      <c r="B2" t="inlineStr">
        <is>
          <t>демонтаж,вывоз</t>
        </is>
      </c>
      <c r="C2" t="inlineStr">
        <is>
          <t>Подготовительные работы</t>
        </is>
      </c>
      <c r="D2" t="inlineStr">
        <is>
          <t>prep</t>
        </is>
      </c>
      <c r="F2" t="b">
        <v>1</v>
      </c>
    </row>
    <row r="3">
      <c r="A3" t="n">
        <v>20</v>
      </c>
      <c r="B3" t="inlineStr">
        <is>
          <t>плитка,сантехника</t>
        </is>
      </c>
      <c r="C3" t="inlineStr">
        <is>
          <t>Ванная комната</t>
        </is>
      </c>
      <c r="D3" t="inlineStr">
        <is>
          <t>bathroom</t>
        </is>
      </c>
      <c r="F3" t="b">
        <v>1</v>
      </c>
    </row>
    <row r="4">
      <c r="A4" t="n">
        <v>30</v>
      </c>
      <c r="B4" t="inlineStr">
        <is>
          <t>ламинат,плинтус</t>
        </is>
      </c>
      <c r="C4" t="inlineStr">
        <is>
          <t>Жилые комнаты (Пол)</t>
        </is>
      </c>
      <c r="D4" t="inlineStr">
        <is>
          <t>floor</t>
        </is>
      </c>
      <c r="F4" t="b">
        <v>1</v>
      </c>
    </row>
    <row r="5">
      <c r="A5" t="n">
        <v>40</v>
      </c>
      <c r="B5" t="inlineStr">
        <is>
          <t>шпаклевка,обои</t>
        </is>
      </c>
      <c r="C5" t="inlineStr">
        <is>
          <t>Стены и потолки</t>
        </is>
      </c>
      <c r="D5" t="inlineStr">
        <is>
          <t>walls</t>
        </is>
      </c>
      <c r="F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6"/>
  <sheetViews>
    <sheetView workbookViewId="0">
      <selection activeCell="A1" sqref="A1"/>
    </sheetView>
  </sheetViews>
  <sheetFormatPr baseColWidth="8" defaultRowHeight="15"/>
  <sheetData>
    <row r="1">
      <c r="B1" t="b">
        <v>1</v>
      </c>
    </row>
    <row r="2">
      <c r="B2" t="n">
        <v>0.2</v>
      </c>
    </row>
    <row r="3">
      <c r="B3" t="inlineStr">
        <is>
          <t>руб.</t>
        </is>
      </c>
    </row>
    <row r="4">
      <c r="B4" t="inlineStr">
        <is>
          <t>СМ-</t>
        </is>
      </c>
    </row>
    <row r="11">
      <c r="B11" t="inlineStr">
        <is>
          <t>ООО "Название компании"</t>
        </is>
      </c>
    </row>
    <row r="12">
      <c r="B12" t="inlineStr">
        <is>
          <t>+7 (000) 000-00-00</t>
        </is>
      </c>
    </row>
    <row r="13">
      <c r="B13" t="inlineStr">
        <is>
          <t>info@example.ru</t>
        </is>
      </c>
    </row>
    <row r="14">
      <c r="B14" t="inlineStr">
        <is>
          <t>www.example.ru</t>
        </is>
      </c>
    </row>
    <row r="15">
      <c r="B15" t="inlineStr">
        <is>
          <t>Адрес офиса</t>
        </is>
      </c>
    </row>
    <row r="16">
      <c r="B16" t="inlineStr">
        <is>
          <t>ИНН / ОГРН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2026-03-26T08:58:17Z</dcterms:created>
  <dcterms:modified xmlns:dcterms="http://purl.org/dc/terms/" xmlns:xsi="http://www.w3.org/2001/XMLSchema-instance" xsi:type="dcterms:W3CDTF">2026-03-26T08:58:17Z</dcterms:modified>
</cp:coreProperties>
</file>